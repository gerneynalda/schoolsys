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  <sheet name="Abad, A G_0" sheetId="2" r:id="rId5"/>
    <sheet name="Balañga-an, K G_0" sheetId="3" r:id="rId6"/>
    <sheet name="Bernardino, L B_0" sheetId="4" r:id="rId7"/>
    <sheet name="Bolves, I N_0" sheetId="5" r:id="rId8"/>
    <sheet name="Chua, S S_0" sheetId="6" r:id="rId9"/>
    <sheet name="Chua, G S_0" sheetId="7" r:id="rId10"/>
    <sheet name="Co, G Y_0" sheetId="8" r:id="rId11"/>
    <sheet name="Comique, S C_0" sheetId="9" r:id="rId12"/>
    <sheet name="Cuaycong, K Z_0" sheetId="10" r:id="rId13"/>
    <sheet name="Deldo, R S_0" sheetId="11" r:id="rId14"/>
    <sheet name="Gille, V S_0" sheetId="12" r:id="rId15"/>
    <sheet name="Jacomille, A V_0" sheetId="13" r:id="rId16"/>
    <sheet name="Lozada, A L_0" sheetId="14" r:id="rId17"/>
    <sheet name="Molleno, S L_0" sheetId="15" r:id="rId18"/>
    <sheet name="Mork, T E_0" sheetId="16" r:id="rId19"/>
    <sheet name="Nolasco, L M_0" sheetId="17" r:id="rId20"/>
    <sheet name="Plona, D D_0" sheetId="18" r:id="rId21"/>
    <sheet name="Relota, B P_0" sheetId="19" r:id="rId22"/>
    <sheet name="Robles, A S_0" sheetId="20" r:id="rId23"/>
    <sheet name="Rodrigo, L S_0" sheetId="21" r:id="rId24"/>
    <sheet name="Sale, E A_0" sheetId="22" r:id="rId25"/>
    <sheet name="Seraspe, L B_0" sheetId="23" r:id="rId26"/>
    <sheet name="Solleza, A L_0" sheetId="24" r:id="rId27"/>
    <sheet name="Sorbito, I M_0" sheetId="25" r:id="rId28"/>
    <sheet name="Suarez, A B_0" sheetId="26" r:id="rId29"/>
    <sheet name="Tadlan, R B_0" sheetId="27" r:id="rId30"/>
    <sheet name="Tan, H _0" sheetId="28" r:id="rId31"/>
    <sheet name="Uy, E F_0" sheetId="29" r:id="rId32"/>
    <sheet name="Yang, Z B_0" sheetId="30" r:id="rId33"/>
    <sheet name="Ybañez, C G_0" sheetId="31" r:id="rId34"/>
    <sheet name="Yip, K Y_0" sheetId="32" r:id="rId35"/>
    <sheet name="Claridad, J C_0" sheetId="33" r:id="rId36"/>
    <sheet name="Albon, K L_0" sheetId="34" r:id="rId37"/>
    <sheet name="So, M T_0" sheetId="35" r:id="rId3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<sst xmlns="http://schemas.openxmlformats.org/spreadsheetml/2006/main" uniqueCount="109">
  <si>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PROGRESS REPORT</t>
  </si>
  <si>
    <t>LRN:</t>
  </si>
  <si>
    <t>(Elementary)</t>
  </si>
  <si>
    <t>Name:</t>
  </si>
  <si>
    <t>Adviser:</t>
  </si>
  <si>
    <t>Grade Level:</t>
  </si>
  <si>
    <t>Section:</t>
  </si>
  <si>
    <t>SUBJECTS</t>
  </si>
  <si>
    <t>QUARTERLY GRADES</t>
  </si>
  <si>
    <t>Final
Grade</t>
  </si>
  <si>
    <t>Action
Taken</t>
  </si>
  <si>
    <t>1st</t>
  </si>
  <si>
    <t>2nd</t>
  </si>
  <si>
    <t>3rd</t>
  </si>
  <si>
    <t>4th</t>
  </si>
  <si>
    <t>FILIPINO</t>
  </si>
  <si>
    <t>ENGLISH</t>
  </si>
  <si>
    <t>MATHEMATICS</t>
  </si>
  <si>
    <t>SCIENCE</t>
  </si>
  <si>
    <t>Araling Panlipunan</t>
  </si>
  <si>
    <t>HELE</t>
  </si>
  <si>
    <t>MAPEH</t>
  </si>
  <si>
    <t>Music</t>
  </si>
  <si>
    <t>Art</t>
  </si>
  <si>
    <t>Physical Education</t>
  </si>
  <si>
    <t>Health</t>
  </si>
  <si>
    <t>BIBLE (EsP)</t>
  </si>
  <si>
    <t>PENMANSHIP</t>
  </si>
  <si>
    <t>FOREIGN LANGUAGE ARTS</t>
  </si>
  <si>
    <t>Average</t>
  </si>
  <si>
    <t>Rank:</t>
  </si>
  <si>
    <t>General Average</t>
  </si>
  <si>
    <t>CHARACTER BUILDING</t>
  </si>
  <si>
    <t>TRAITS</t>
  </si>
  <si>
    <t>Character Building Ratings:</t>
  </si>
  <si>
    <t>Activeness in school and classroom</t>
  </si>
  <si>
    <t>Positive Influence</t>
  </si>
  <si>
    <t>Cleanliness and care of things</t>
  </si>
  <si>
    <t>Good, consistent</t>
  </si>
  <si>
    <t>Consideration for others</t>
  </si>
  <si>
    <t>Good, but not consistent</t>
  </si>
  <si>
    <t>Courtesy and cheerfulness</t>
  </si>
  <si>
    <t>Fair, average</t>
  </si>
  <si>
    <t>Honesty</t>
  </si>
  <si>
    <t>Not satisfactory</t>
  </si>
  <si>
    <t>Industry and helpfulness</t>
  </si>
  <si>
    <t>Under discipline</t>
  </si>
  <si>
    <t>Obedience and promptness</t>
  </si>
  <si>
    <t>Proper decorum</t>
  </si>
  <si>
    <t>Respect for rules and authority</t>
  </si>
  <si>
    <t>Resourcefulness and creativeness</t>
  </si>
  <si>
    <t>Self-reliance and responsibility</t>
  </si>
  <si>
    <t>Sportsmanship and self-control</t>
  </si>
  <si>
    <t>Ms. ESTHER JANE Y. UY</t>
  </si>
  <si>
    <t>Quarterly H and B Rating</t>
  </si>
  <si>
    <t>Principal</t>
  </si>
  <si>
    <t>ATTENDANCE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</si>
  <si>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</si>
  <si>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</si>
  <si>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</si>
  <si>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</si>
  <si>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</si>
  <si>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</si>
  <si>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</si>
  <si>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</si>
  <si>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</si>
  <si>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</si>
  <si>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Total</t>
  </si>
  <si>
    <t>Days of School</t>
  </si>
  <si>
    <t>Days Present</t>
  </si>
  <si>
    <t>Days Tardy</t>
  </si>
  <si>
    <t xml:space="preserve">Abad, Anton Martin Gavan </t>
  </si>
  <si>
    <t xml:space="preserve">Ramos, Jennifer T. </t>
  </si>
  <si>
    <t>Grade 5</t>
  </si>
  <si>
    <t>Light</t>
  </si>
  <si>
    <t>SY:2024 - 2025</t>
  </si>
  <si>
    <t xml:space="preserve">Balañga-an, Katelynn Jan Go </t>
  </si>
  <si>
    <t xml:space="preserve">Bernardino, Lilian Faith Baldonado </t>
  </si>
  <si>
    <t xml:space="preserve">Bolves, Isaac Kristoff Nene </t>
  </si>
  <si>
    <t xml:space="preserve">Chua, Savannah Therese Sy </t>
  </si>
  <si>
    <t xml:space="preserve">Chua, Gideon Salado </t>
  </si>
  <si>
    <t xml:space="preserve">Co, Gabriel Lucas Yu </t>
  </si>
  <si>
    <t xml:space="preserve">Comique, Sam Celeste </t>
  </si>
  <si>
    <t xml:space="preserve">Cuaycong, Kassandra Alicia Zuñiga </t>
  </si>
  <si>
    <t xml:space="preserve">Deldo, Rui Lexine Suansing </t>
  </si>
  <si>
    <t xml:space="preserve">Gille, Von Allaine Sinoro </t>
  </si>
  <si>
    <t xml:space="preserve">Jacomille, Atasha Isabella Vidal </t>
  </si>
  <si>
    <t xml:space="preserve">Lozada, Alikah Leanne Lescano </t>
  </si>
  <si>
    <t xml:space="preserve">Molleno, Sean Harvey Limsiaco </t>
  </si>
  <si>
    <t xml:space="preserve">Mork, Therese Elisha Erecre </t>
  </si>
  <si>
    <t xml:space="preserve">Nolasco, Lyceus Jaeger Mendoza </t>
  </si>
  <si>
    <t xml:space="preserve">Plona, Daniel Lance Diopol </t>
  </si>
  <si>
    <t xml:space="preserve">Relota, Bella Louise Para-on </t>
  </si>
  <si>
    <t xml:space="preserve">Robles, Arixzandra Sumagaysay </t>
  </si>
  <si>
    <t xml:space="preserve">Rodrigo, Lucian Isaiah Sabla-on </t>
  </si>
  <si>
    <t xml:space="preserve">Sale, Ethan Dimitri Alforque </t>
  </si>
  <si>
    <t xml:space="preserve">Seraspe, Lucy Annmarie Babay </t>
  </si>
  <si>
    <t xml:space="preserve">Solleza, Arch Nathan Lamo </t>
  </si>
  <si>
    <t xml:space="preserve">Sorbito, Irene Orland Mandin </t>
  </si>
  <si>
    <t xml:space="preserve">Suarez, Arabella Dominique Benedicto </t>
  </si>
  <si>
    <t xml:space="preserve">Tadlan, Ryna Gwen Blanca </t>
  </si>
  <si>
    <t xml:space="preserve">Tan, Hailey Alexandra  </t>
  </si>
  <si>
    <t xml:space="preserve">Uy, Erika Ines Fernandez </t>
  </si>
  <si>
    <t xml:space="preserve">Yang, Zymon Marceaux Braña </t>
  </si>
  <si>
    <t xml:space="preserve">Ybañez, Chris Yul Garcia </t>
  </si>
  <si>
    <t xml:space="preserve">Yip, Kaeden Warren Yu </t>
  </si>
  <si>
    <t xml:space="preserve">Claridad, Jorge Jacob Cataluna </t>
  </si>
  <si>
    <t xml:space="preserve">Albon, Kate Alexandrea Lobrido </t>
  </si>
  <si>
    <t xml:space="preserve">So, Margaux Yssabelle Teruel 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</si>
</sst>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8"/>
      <color rgb="FF000000"/>
      <name val="Calibri"/>
      <scheme val="minor"/>
    </font>
    <font>
      <b val="0"/>
      <i val="0"/>
      <strike val="0"/>
      <u val="none"/>
      <sz val="7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2" fillId="0" borderId="1" applyFont="1" applyNumberFormat="1" applyFill="0" applyBorder="1" applyAlignment="1">
      <alignment horizontal="center" vertical="center" textRotation="0" wrapText="false" shrinkToFit="false"/>
    </xf>
    <xf xfId="0" fontId="2" numFmtId="2" fillId="0" borderId="2" applyFont="1" applyNumberFormat="1" applyFill="0" applyBorder="1" applyAlignment="1">
      <alignment horizontal="center" vertical="center" textRotation="0" wrapText="false" shrinkToFit="false"/>
    </xf>
    <xf xfId="0" fontId="2" numFmtId="2" fillId="0" borderId="3" applyFont="1" applyNumberFormat="1" applyFill="0" applyBorder="1" applyAlignment="1">
      <alignment horizontal="center" vertical="center" textRotation="0" wrapText="false" shrinkToFit="false"/>
    </xf>
    <xf xfId="0" fontId="4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5" applyFont="0" applyNumberFormat="0" applyFill="0" applyBorder="1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1" fillId="0" borderId="0" applyFont="0" applyNumberFormat="1" applyFill="0" applyBorder="0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left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left" vertical="center" textRotation="0" wrapText="false" shrinkToFit="false"/>
    </xf>
    <xf xfId="0" fontId="7" numFmtId="0" fillId="0" borderId="6" applyFont="1" applyNumberFormat="0" applyFill="0" applyBorder="1" applyAlignment="1">
      <alignment horizontal="center" vertical="bottom" textRotation="0" wrapText="false" shrinkToFit="false"/>
    </xf>
    <xf xfId="0" fontId="3" numFmtId="1" fillId="0" borderId="5" applyFont="1" applyNumberFormat="1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" fillId="0" borderId="1" applyFont="1" applyNumberFormat="1" applyFill="0" applyBorder="1" applyAlignment="1">
      <alignment horizontal="center" vertical="center" textRotation="0" wrapText="false" shrinkToFit="false"/>
    </xf>
    <xf xfId="0" fontId="2" numFmtId="1" fillId="0" borderId="2" applyFont="1" applyNumberFormat="1" applyFill="0" applyBorder="1" applyAlignment="1">
      <alignment horizontal="center" vertical="center" textRotation="0" wrapText="false" shrinkToFit="false"/>
    </xf>
    <xf xfId="0" fontId="2" numFmtId="1" fillId="0" borderId="3" applyFont="1" applyNumberFormat="1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2" fillId="0" borderId="5" applyFont="1" applyNumberFormat="1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vertical="center" textRotation="0" wrapText="false" shrinkToFit="false"/>
    </xf>
    <xf xfId="0" fontId="1" numFmtId="2" fillId="0" borderId="1" applyFont="1" applyNumberFormat="1" applyFill="0" applyBorder="1" applyAlignment="1">
      <alignment horizontal="center" vertical="center" textRotation="0" wrapText="false" shrinkToFit="false"/>
    </xf>
    <xf xfId="0" fontId="1" numFmtId="2" fillId="0" borderId="2" applyFont="1" applyNumberFormat="1" applyFill="0" applyBorder="1" applyAlignment="1">
      <alignment horizontal="center" vertical="center" textRotation="0" wrapText="false" shrinkToFit="false"/>
    </xf>
    <xf xfId="0" fontId="1" numFmtId="2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right" vertical="center" textRotation="0" wrapText="false" shrinkToFit="false"/>
    </xf>
    <xf xfId="0" fontId="1" numFmtId="0" fillId="0" borderId="2" applyFont="1" applyNumberFormat="0" applyFill="0" applyBorder="1" applyAlignment="1">
      <alignment horizontal="right" vertical="center" textRotation="0" wrapText="false" shrinkToFit="false"/>
    </xf>
    <xf xfId="0" fontId="1" numFmtId="0" fillId="0" borderId="3" applyFont="1" applyNumberFormat="0" applyFill="0" applyBorder="1" applyAlignment="1">
      <alignment horizontal="right" vertical="center" textRotation="0" wrapText="false" shrinkToFit="false"/>
    </xf>
    <xf xfId="0" fontId="8" numFmtId="0" fillId="0" borderId="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/Relationships>
</file>

<file path=xl/drawings/_rels/vmlDrawingHF1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2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3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4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5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6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7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8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9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10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11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12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13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14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15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16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17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18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19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20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21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22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23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24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25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26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27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28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29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30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31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32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33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34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drawings/_rels/vmlDrawingHF35.vml.rels><?xml version="1.0" encoding="UTF-8" standalone="yes"?>
<Relationships xmlns="http://schemas.openxmlformats.org/package/2006/relationships"><Relationship Id="rIdLH" Type="http://schemas.openxmlformats.org/officeDocument/2006/relationships/image" Target="../media/2f56ff52e5e1e200fc656dccb42e6a45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2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3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4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5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5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6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6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7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7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8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8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9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9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0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0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1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1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2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2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3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3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4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4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5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5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6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6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7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7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8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8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9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9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0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20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1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21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2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22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3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23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4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24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5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25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6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26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7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27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8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28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9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29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30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30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31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31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32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32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33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33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34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34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35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35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1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/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/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24">
        <f>SUM(N7:AC7)/4</f>
        <v>0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24">
        <f>SUM(N8:AC8)/4</f>
        <v>0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24">
        <f>SUM(N9:AC9)/4</f>
        <v>0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24">
        <f>SUM(N10:AC10)/4</f>
        <v>0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24">
        <f>SUM(N11:AC11)/4</f>
        <v>0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24">
        <f>SUM(N12:AC12)/4</f>
        <v>0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24">
        <f>SUM(N13:AC13)/4</f>
        <v>0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24">
        <f>SUM(N14:AC14)/4</f>
        <v>0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24">
        <f>SUM(N15:AC15)/4</f>
        <v>0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24">
        <f>SUM(N16:AC16)/4</f>
        <v>0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24">
        <f>SUM(N17:AC17)/4</f>
        <v>0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/>
      <c r="O18" s="22"/>
      <c r="P18" s="22"/>
      <c r="Q18" s="23"/>
      <c r="R18" s="21"/>
      <c r="S18" s="22"/>
      <c r="T18" s="22"/>
      <c r="U18" s="23"/>
      <c r="V18" s="21"/>
      <c r="W18" s="22"/>
      <c r="X18" s="22"/>
      <c r="Y18" s="23"/>
      <c r="Z18" s="21"/>
      <c r="AA18" s="22"/>
      <c r="AB18" s="22"/>
      <c r="AC18" s="23"/>
      <c r="AD18" s="24">
        <f>SUM(N18:AC18)/4</f>
        <v>0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24">
        <f>SUM(N20:AC20)/4</f>
        <v>0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0</v>
      </c>
      <c r="O21" s="60"/>
      <c r="P21" s="60"/>
      <c r="Q21" s="60"/>
      <c r="R21" s="60">
        <f>SUM(R7:U13,R18)/8</f>
        <v>0</v>
      </c>
      <c r="S21" s="60"/>
      <c r="T21" s="60"/>
      <c r="U21" s="60"/>
      <c r="V21" s="60">
        <f>SUM(V7:Y13,V18)/8</f>
        <v>0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0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/>
      <c r="Q26" s="19"/>
      <c r="R26" s="19"/>
      <c r="S26" s="19"/>
      <c r="T26" s="19"/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/>
      <c r="Q27" s="19"/>
      <c r="R27" s="19"/>
      <c r="S27" s="19"/>
      <c r="T27" s="19"/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/>
      <c r="Q28" s="19"/>
      <c r="R28" s="19"/>
      <c r="S28" s="19"/>
      <c r="T28" s="19"/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/>
      <c r="Q29" s="19"/>
      <c r="R29" s="19"/>
      <c r="S29" s="19"/>
      <c r="T29" s="19"/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/>
      <c r="Q30" s="19"/>
      <c r="R30" s="19"/>
      <c r="S30" s="19"/>
      <c r="T30" s="19"/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/>
      <c r="Q31" s="19"/>
      <c r="R31" s="19"/>
      <c r="S31" s="19"/>
      <c r="T31" s="19"/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/>
      <c r="Q32" s="19"/>
      <c r="R32" s="19"/>
      <c r="S32" s="19"/>
      <c r="T32" s="19"/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/>
      <c r="Q33" s="19"/>
      <c r="R33" s="19"/>
      <c r="S33" s="19"/>
      <c r="T33" s="19"/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/>
      <c r="Q34" s="19"/>
      <c r="R34" s="19"/>
      <c r="S34" s="19"/>
      <c r="T34" s="19"/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/>
      <c r="Q35" s="19"/>
      <c r="R35" s="19"/>
      <c r="S35" s="19"/>
      <c r="T35" s="19"/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/>
      <c r="Q36" s="19"/>
      <c r="R36" s="19"/>
      <c r="S36" s="19"/>
      <c r="T36" s="19"/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/>
      <c r="Q37" s="19"/>
      <c r="R37" s="19"/>
      <c r="S37" s="19"/>
      <c r="T37" s="19"/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0</v>
      </c>
      <c r="Q38" s="20"/>
      <c r="R38" s="20">
        <f>SUM(R26:S37)/12</f>
        <v>0</v>
      </c>
      <c r="S38" s="20"/>
      <c r="T38" s="20">
        <f>SUM(T26:U37)/12</f>
        <v>0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404147190077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71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88</v>
      </c>
      <c r="O7" s="16"/>
      <c r="P7" s="16"/>
      <c r="Q7" s="16"/>
      <c r="R7" s="16">
        <v>88</v>
      </c>
      <c r="S7" s="16"/>
      <c r="T7" s="16"/>
      <c r="U7" s="16"/>
      <c r="V7" s="16">
        <v>82</v>
      </c>
      <c r="W7" s="16"/>
      <c r="X7" s="16"/>
      <c r="Y7" s="16"/>
      <c r="Z7" s="16"/>
      <c r="AA7" s="16"/>
      <c r="AB7" s="16"/>
      <c r="AC7" s="16"/>
      <c r="AD7" s="24">
        <f>SUM(N7:AC7)/4</f>
        <v>64.5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89</v>
      </c>
      <c r="O8" s="16"/>
      <c r="P8" s="16"/>
      <c r="Q8" s="16"/>
      <c r="R8" s="16">
        <v>83</v>
      </c>
      <c r="S8" s="16"/>
      <c r="T8" s="16"/>
      <c r="U8" s="16"/>
      <c r="V8" s="16">
        <v>90</v>
      </c>
      <c r="W8" s="16"/>
      <c r="X8" s="16"/>
      <c r="Y8" s="16"/>
      <c r="Z8" s="16"/>
      <c r="AA8" s="16"/>
      <c r="AB8" s="16"/>
      <c r="AC8" s="16"/>
      <c r="AD8" s="24">
        <f>SUM(N8:AC8)/4</f>
        <v>65.5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82</v>
      </c>
      <c r="O9" s="16"/>
      <c r="P9" s="16"/>
      <c r="Q9" s="16"/>
      <c r="R9" s="16">
        <v>89</v>
      </c>
      <c r="S9" s="16"/>
      <c r="T9" s="16"/>
      <c r="U9" s="16"/>
      <c r="V9" s="16">
        <v>85</v>
      </c>
      <c r="W9" s="16"/>
      <c r="X9" s="16"/>
      <c r="Y9" s="16"/>
      <c r="Z9" s="16"/>
      <c r="AA9" s="16"/>
      <c r="AB9" s="16"/>
      <c r="AC9" s="16"/>
      <c r="AD9" s="24">
        <f>SUM(N9:AC9)/4</f>
        <v>64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81</v>
      </c>
      <c r="O10" s="16"/>
      <c r="P10" s="16"/>
      <c r="Q10" s="16"/>
      <c r="R10" s="16">
        <v>85</v>
      </c>
      <c r="S10" s="16"/>
      <c r="T10" s="16"/>
      <c r="U10" s="16"/>
      <c r="V10" s="16">
        <v>82</v>
      </c>
      <c r="W10" s="16"/>
      <c r="X10" s="16"/>
      <c r="Y10" s="16"/>
      <c r="Z10" s="16"/>
      <c r="AA10" s="16"/>
      <c r="AB10" s="16"/>
      <c r="AC10" s="16"/>
      <c r="AD10" s="24">
        <f>SUM(N10:AC10)/4</f>
        <v>62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82</v>
      </c>
      <c r="O11" s="16"/>
      <c r="P11" s="16"/>
      <c r="Q11" s="16"/>
      <c r="R11" s="16">
        <v>85</v>
      </c>
      <c r="S11" s="16"/>
      <c r="T11" s="16"/>
      <c r="U11" s="16"/>
      <c r="V11" s="16">
        <v>82</v>
      </c>
      <c r="W11" s="16"/>
      <c r="X11" s="16"/>
      <c r="Y11" s="16"/>
      <c r="Z11" s="16"/>
      <c r="AA11" s="16"/>
      <c r="AB11" s="16"/>
      <c r="AC11" s="16"/>
      <c r="AD11" s="24">
        <f>SUM(N11:AC11)/4</f>
        <v>62.25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96</v>
      </c>
      <c r="O12" s="16"/>
      <c r="P12" s="16"/>
      <c r="Q12" s="16"/>
      <c r="R12" s="16">
        <v>90</v>
      </c>
      <c r="S12" s="16"/>
      <c r="T12" s="16"/>
      <c r="U12" s="16"/>
      <c r="V12" s="16">
        <v>94</v>
      </c>
      <c r="W12" s="16"/>
      <c r="X12" s="16"/>
      <c r="Y12" s="16"/>
      <c r="Z12" s="16"/>
      <c r="AA12" s="16"/>
      <c r="AB12" s="16"/>
      <c r="AC12" s="16"/>
      <c r="AD12" s="24">
        <f>SUM(N12:AC12)/4</f>
        <v>70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93</v>
      </c>
      <c r="O13" s="16"/>
      <c r="P13" s="16"/>
      <c r="Q13" s="16"/>
      <c r="R13" s="16">
        <v>94</v>
      </c>
      <c r="S13" s="16"/>
      <c r="T13" s="16"/>
      <c r="U13" s="16"/>
      <c r="V13" s="16">
        <v>93</v>
      </c>
      <c r="W13" s="16"/>
      <c r="X13" s="16"/>
      <c r="Y13" s="16"/>
      <c r="Z13" s="16"/>
      <c r="AA13" s="16"/>
      <c r="AB13" s="16"/>
      <c r="AC13" s="16"/>
      <c r="AD13" s="24">
        <f>SUM(N13:AC13)/4</f>
        <v>70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90</v>
      </c>
      <c r="O14" s="16"/>
      <c r="P14" s="16"/>
      <c r="Q14" s="16"/>
      <c r="R14" s="16">
        <v>90</v>
      </c>
      <c r="S14" s="16"/>
      <c r="T14" s="16"/>
      <c r="U14" s="16"/>
      <c r="V14" s="16">
        <v>88</v>
      </c>
      <c r="W14" s="16"/>
      <c r="X14" s="16"/>
      <c r="Y14" s="16"/>
      <c r="Z14" s="16"/>
      <c r="AA14" s="16"/>
      <c r="AB14" s="16"/>
      <c r="AC14" s="16"/>
      <c r="AD14" s="24">
        <f>SUM(N14:AC14)/4</f>
        <v>67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90</v>
      </c>
      <c r="O15" s="16"/>
      <c r="P15" s="16"/>
      <c r="Q15" s="16"/>
      <c r="R15" s="16">
        <v>93</v>
      </c>
      <c r="S15" s="16"/>
      <c r="T15" s="16"/>
      <c r="U15" s="16"/>
      <c r="V15" s="16">
        <v>96</v>
      </c>
      <c r="W15" s="16"/>
      <c r="X15" s="16"/>
      <c r="Y15" s="16"/>
      <c r="Z15" s="16"/>
      <c r="AA15" s="16"/>
      <c r="AB15" s="16"/>
      <c r="AC15" s="16"/>
      <c r="AD15" s="24">
        <f>SUM(N15:AC15)/4</f>
        <v>69.75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95</v>
      </c>
      <c r="O16" s="16"/>
      <c r="P16" s="16"/>
      <c r="Q16" s="16"/>
      <c r="R16" s="16">
        <v>95</v>
      </c>
      <c r="S16" s="16"/>
      <c r="T16" s="16"/>
      <c r="U16" s="16"/>
      <c r="V16" s="16">
        <v>95</v>
      </c>
      <c r="W16" s="16"/>
      <c r="X16" s="16"/>
      <c r="Y16" s="16"/>
      <c r="Z16" s="16"/>
      <c r="AA16" s="16"/>
      <c r="AB16" s="16"/>
      <c r="AC16" s="16"/>
      <c r="AD16" s="24">
        <f>SUM(N16:AC16)/4</f>
        <v>71.25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96</v>
      </c>
      <c r="O17" s="16"/>
      <c r="P17" s="16"/>
      <c r="Q17" s="16"/>
      <c r="R17" s="16">
        <v>97</v>
      </c>
      <c r="S17" s="16"/>
      <c r="T17" s="16"/>
      <c r="U17" s="16"/>
      <c r="V17" s="16">
        <v>94</v>
      </c>
      <c r="W17" s="16"/>
      <c r="X17" s="16"/>
      <c r="Y17" s="16"/>
      <c r="Z17" s="16"/>
      <c r="AA17" s="16"/>
      <c r="AB17" s="16"/>
      <c r="AC17" s="16"/>
      <c r="AD17" s="24">
        <f>SUM(N17:AC17)/4</f>
        <v>71.75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88</v>
      </c>
      <c r="O18" s="22"/>
      <c r="P18" s="22"/>
      <c r="Q18" s="23"/>
      <c r="R18" s="21">
        <v>93</v>
      </c>
      <c r="S18" s="22"/>
      <c r="T18" s="22"/>
      <c r="U18" s="23"/>
      <c r="V18" s="21">
        <v>90</v>
      </c>
      <c r="W18" s="22"/>
      <c r="X18" s="22"/>
      <c r="Y18" s="23"/>
      <c r="Z18" s="21"/>
      <c r="AA18" s="22"/>
      <c r="AB18" s="22"/>
      <c r="AC18" s="23"/>
      <c r="AD18" s="24">
        <f>SUM(N18:AC18)/4</f>
        <v>67.75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82.9</v>
      </c>
      <c r="O20" s="16"/>
      <c r="P20" s="16"/>
      <c r="Q20" s="16"/>
      <c r="R20" s="16">
        <v>83</v>
      </c>
      <c r="S20" s="16"/>
      <c r="T20" s="16"/>
      <c r="U20" s="16"/>
      <c r="V20" s="16">
        <v>75.35</v>
      </c>
      <c r="W20" s="16"/>
      <c r="X20" s="16"/>
      <c r="Y20" s="16"/>
      <c r="Z20" s="16"/>
      <c r="AA20" s="16"/>
      <c r="AB20" s="16"/>
      <c r="AC20" s="16"/>
      <c r="AD20" s="24">
        <f>SUM(N20:AC20)/4</f>
        <v>60.3125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87.375</v>
      </c>
      <c r="O21" s="60"/>
      <c r="P21" s="60"/>
      <c r="Q21" s="60"/>
      <c r="R21" s="60">
        <f>SUM(R7:U13,R18)/8</f>
        <v>88.375</v>
      </c>
      <c r="S21" s="60"/>
      <c r="T21" s="60"/>
      <c r="U21" s="60"/>
      <c r="V21" s="60">
        <f>SUM(V7:Y13,V18)/8</f>
        <v>87.25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65.75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2</v>
      </c>
      <c r="S26" s="19"/>
      <c r="T26" s="19">
        <v>2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2.9166666666667</v>
      </c>
      <c r="S38" s="20"/>
      <c r="T38" s="20">
        <f>SUM(T26:U37)/12</f>
        <v>2.9166666666667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404147190047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76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92</v>
      </c>
      <c r="O7" s="16"/>
      <c r="P7" s="16"/>
      <c r="Q7" s="16"/>
      <c r="R7" s="16">
        <v>93</v>
      </c>
      <c r="S7" s="16"/>
      <c r="T7" s="16"/>
      <c r="U7" s="16"/>
      <c r="V7" s="16">
        <v>90</v>
      </c>
      <c r="W7" s="16"/>
      <c r="X7" s="16"/>
      <c r="Y7" s="16"/>
      <c r="Z7" s="16"/>
      <c r="AA7" s="16"/>
      <c r="AB7" s="16"/>
      <c r="AC7" s="16"/>
      <c r="AD7" s="24">
        <f>SUM(N7:AC7)/4</f>
        <v>68.75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95</v>
      </c>
      <c r="O8" s="16"/>
      <c r="P8" s="16"/>
      <c r="Q8" s="16"/>
      <c r="R8" s="16">
        <v>86</v>
      </c>
      <c r="S8" s="16"/>
      <c r="T8" s="16"/>
      <c r="U8" s="16"/>
      <c r="V8" s="16">
        <v>92</v>
      </c>
      <c r="W8" s="16"/>
      <c r="X8" s="16"/>
      <c r="Y8" s="16"/>
      <c r="Z8" s="16"/>
      <c r="AA8" s="16"/>
      <c r="AB8" s="16"/>
      <c r="AC8" s="16"/>
      <c r="AD8" s="24">
        <f>SUM(N8:AC8)/4</f>
        <v>68.25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91</v>
      </c>
      <c r="O9" s="16"/>
      <c r="P9" s="16"/>
      <c r="Q9" s="16"/>
      <c r="R9" s="16">
        <v>90</v>
      </c>
      <c r="S9" s="16"/>
      <c r="T9" s="16"/>
      <c r="U9" s="16"/>
      <c r="V9" s="16">
        <v>90</v>
      </c>
      <c r="W9" s="16"/>
      <c r="X9" s="16"/>
      <c r="Y9" s="16"/>
      <c r="Z9" s="16"/>
      <c r="AA9" s="16"/>
      <c r="AB9" s="16"/>
      <c r="AC9" s="16"/>
      <c r="AD9" s="24">
        <f>SUM(N9:AC9)/4</f>
        <v>67.75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82</v>
      </c>
      <c r="O10" s="16"/>
      <c r="P10" s="16"/>
      <c r="Q10" s="16"/>
      <c r="R10" s="16">
        <v>88</v>
      </c>
      <c r="S10" s="16"/>
      <c r="T10" s="16"/>
      <c r="U10" s="16"/>
      <c r="V10" s="16">
        <v>82</v>
      </c>
      <c r="W10" s="16"/>
      <c r="X10" s="16"/>
      <c r="Y10" s="16"/>
      <c r="Z10" s="16"/>
      <c r="AA10" s="16"/>
      <c r="AB10" s="16"/>
      <c r="AC10" s="16"/>
      <c r="AD10" s="24">
        <f>SUM(N10:AC10)/4</f>
        <v>63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83</v>
      </c>
      <c r="O11" s="16"/>
      <c r="P11" s="16"/>
      <c r="Q11" s="16"/>
      <c r="R11" s="16">
        <v>89</v>
      </c>
      <c r="S11" s="16"/>
      <c r="T11" s="16"/>
      <c r="U11" s="16"/>
      <c r="V11" s="16">
        <v>80</v>
      </c>
      <c r="W11" s="16"/>
      <c r="X11" s="16"/>
      <c r="Y11" s="16"/>
      <c r="Z11" s="16"/>
      <c r="AA11" s="16"/>
      <c r="AB11" s="16"/>
      <c r="AC11" s="16"/>
      <c r="AD11" s="24">
        <f>SUM(N11:AC11)/4</f>
        <v>63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97</v>
      </c>
      <c r="O12" s="16"/>
      <c r="P12" s="16"/>
      <c r="Q12" s="16"/>
      <c r="R12" s="16">
        <v>91</v>
      </c>
      <c r="S12" s="16"/>
      <c r="T12" s="16"/>
      <c r="U12" s="16"/>
      <c r="V12" s="16">
        <v>93</v>
      </c>
      <c r="W12" s="16"/>
      <c r="X12" s="16"/>
      <c r="Y12" s="16"/>
      <c r="Z12" s="16"/>
      <c r="AA12" s="16"/>
      <c r="AB12" s="16"/>
      <c r="AC12" s="16"/>
      <c r="AD12" s="24">
        <f>SUM(N12:AC12)/4</f>
        <v>70.25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97</v>
      </c>
      <c r="O13" s="16"/>
      <c r="P13" s="16"/>
      <c r="Q13" s="16"/>
      <c r="R13" s="16">
        <v>96</v>
      </c>
      <c r="S13" s="16"/>
      <c r="T13" s="16"/>
      <c r="U13" s="16"/>
      <c r="V13" s="16">
        <v>96</v>
      </c>
      <c r="W13" s="16"/>
      <c r="X13" s="16"/>
      <c r="Y13" s="16"/>
      <c r="Z13" s="16"/>
      <c r="AA13" s="16"/>
      <c r="AB13" s="16"/>
      <c r="AC13" s="16"/>
      <c r="AD13" s="24">
        <f>SUM(N13:AC13)/4</f>
        <v>72.25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96</v>
      </c>
      <c r="O14" s="16"/>
      <c r="P14" s="16"/>
      <c r="Q14" s="16"/>
      <c r="R14" s="16">
        <v>98</v>
      </c>
      <c r="S14" s="16"/>
      <c r="T14" s="16"/>
      <c r="U14" s="16"/>
      <c r="V14" s="16">
        <v>94</v>
      </c>
      <c r="W14" s="16"/>
      <c r="X14" s="16"/>
      <c r="Y14" s="16"/>
      <c r="Z14" s="16"/>
      <c r="AA14" s="16"/>
      <c r="AB14" s="16"/>
      <c r="AC14" s="16"/>
      <c r="AD14" s="24">
        <f>SUM(N14:AC14)/4</f>
        <v>72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92</v>
      </c>
      <c r="O15" s="16"/>
      <c r="P15" s="16"/>
      <c r="Q15" s="16"/>
      <c r="R15" s="16">
        <v>92</v>
      </c>
      <c r="S15" s="16"/>
      <c r="T15" s="16"/>
      <c r="U15" s="16"/>
      <c r="V15" s="16">
        <v>95</v>
      </c>
      <c r="W15" s="16"/>
      <c r="X15" s="16"/>
      <c r="Y15" s="16"/>
      <c r="Z15" s="16"/>
      <c r="AA15" s="16"/>
      <c r="AB15" s="16"/>
      <c r="AC15" s="16"/>
      <c r="AD15" s="24">
        <f>SUM(N15:AC15)/4</f>
        <v>69.75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98</v>
      </c>
      <c r="S16" s="16"/>
      <c r="T16" s="16"/>
      <c r="U16" s="16"/>
      <c r="V16" s="16">
        <v>98</v>
      </c>
      <c r="W16" s="16"/>
      <c r="X16" s="16"/>
      <c r="Y16" s="16"/>
      <c r="Z16" s="16"/>
      <c r="AA16" s="16"/>
      <c r="AB16" s="16"/>
      <c r="AC16" s="16"/>
      <c r="AD16" s="24">
        <f>SUM(N16:AC16)/4</f>
        <v>73.75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99</v>
      </c>
      <c r="O17" s="16"/>
      <c r="P17" s="16"/>
      <c r="Q17" s="16"/>
      <c r="R17" s="16">
        <v>96</v>
      </c>
      <c r="S17" s="16"/>
      <c r="T17" s="16"/>
      <c r="U17" s="16"/>
      <c r="V17" s="16">
        <v>98</v>
      </c>
      <c r="W17" s="16"/>
      <c r="X17" s="16"/>
      <c r="Y17" s="16"/>
      <c r="Z17" s="16"/>
      <c r="AA17" s="16"/>
      <c r="AB17" s="16"/>
      <c r="AC17" s="16"/>
      <c r="AD17" s="24">
        <f>SUM(N17:AC17)/4</f>
        <v>73.25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95</v>
      </c>
      <c r="O18" s="22"/>
      <c r="P18" s="22"/>
      <c r="Q18" s="23"/>
      <c r="R18" s="21">
        <v>93</v>
      </c>
      <c r="S18" s="22"/>
      <c r="T18" s="22"/>
      <c r="U18" s="23"/>
      <c r="V18" s="21">
        <v>93</v>
      </c>
      <c r="W18" s="22"/>
      <c r="X18" s="22"/>
      <c r="Y18" s="23"/>
      <c r="Z18" s="21"/>
      <c r="AA18" s="22"/>
      <c r="AB18" s="22"/>
      <c r="AC18" s="23"/>
      <c r="AD18" s="24">
        <f>SUM(N18:AC18)/4</f>
        <v>70.25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87.4</v>
      </c>
      <c r="O20" s="16"/>
      <c r="P20" s="16"/>
      <c r="Q20" s="16"/>
      <c r="R20" s="16">
        <v>81.3</v>
      </c>
      <c r="S20" s="16"/>
      <c r="T20" s="16"/>
      <c r="U20" s="16"/>
      <c r="V20" s="16">
        <v>75.45</v>
      </c>
      <c r="W20" s="16"/>
      <c r="X20" s="16"/>
      <c r="Y20" s="16"/>
      <c r="Z20" s="16"/>
      <c r="AA20" s="16"/>
      <c r="AB20" s="16"/>
      <c r="AC20" s="16"/>
      <c r="AD20" s="24">
        <f>SUM(N20:AC20)/4</f>
        <v>61.0375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91.5</v>
      </c>
      <c r="O21" s="60"/>
      <c r="P21" s="60"/>
      <c r="Q21" s="60"/>
      <c r="R21" s="60">
        <f>SUM(R7:U13,R18)/8</f>
        <v>90.75</v>
      </c>
      <c r="S21" s="60"/>
      <c r="T21" s="60"/>
      <c r="U21" s="60"/>
      <c r="V21" s="60">
        <f>SUM(V7:Y13,V18)/8</f>
        <v>89.5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67.9375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404147190049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77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95</v>
      </c>
      <c r="O7" s="16"/>
      <c r="P7" s="16"/>
      <c r="Q7" s="16"/>
      <c r="R7" s="16">
        <v>95</v>
      </c>
      <c r="S7" s="16"/>
      <c r="T7" s="16"/>
      <c r="U7" s="16"/>
      <c r="V7" s="16">
        <v>94</v>
      </c>
      <c r="W7" s="16"/>
      <c r="X7" s="16"/>
      <c r="Y7" s="16"/>
      <c r="Z7" s="16"/>
      <c r="AA7" s="16"/>
      <c r="AB7" s="16"/>
      <c r="AC7" s="16"/>
      <c r="AD7" s="24">
        <f>SUM(N7:AC7)/4</f>
        <v>71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97</v>
      </c>
      <c r="O8" s="16"/>
      <c r="P8" s="16"/>
      <c r="Q8" s="16"/>
      <c r="R8" s="16">
        <v>94</v>
      </c>
      <c r="S8" s="16"/>
      <c r="T8" s="16"/>
      <c r="U8" s="16"/>
      <c r="V8" s="16">
        <v>99</v>
      </c>
      <c r="W8" s="16"/>
      <c r="X8" s="16"/>
      <c r="Y8" s="16"/>
      <c r="Z8" s="16"/>
      <c r="AA8" s="16"/>
      <c r="AB8" s="16"/>
      <c r="AC8" s="16"/>
      <c r="AD8" s="24">
        <f>SUM(N8:AC8)/4</f>
        <v>72.5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93</v>
      </c>
      <c r="O9" s="16"/>
      <c r="P9" s="16"/>
      <c r="Q9" s="16"/>
      <c r="R9" s="16">
        <v>97</v>
      </c>
      <c r="S9" s="16"/>
      <c r="T9" s="16"/>
      <c r="U9" s="16"/>
      <c r="V9" s="16">
        <v>97</v>
      </c>
      <c r="W9" s="16"/>
      <c r="X9" s="16"/>
      <c r="Y9" s="16"/>
      <c r="Z9" s="16"/>
      <c r="AA9" s="16"/>
      <c r="AB9" s="16"/>
      <c r="AC9" s="16"/>
      <c r="AD9" s="24">
        <f>SUM(N9:AC9)/4</f>
        <v>71.75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91</v>
      </c>
      <c r="O10" s="16"/>
      <c r="P10" s="16"/>
      <c r="Q10" s="16"/>
      <c r="R10" s="16">
        <v>98</v>
      </c>
      <c r="S10" s="16"/>
      <c r="T10" s="16"/>
      <c r="U10" s="16"/>
      <c r="V10" s="16">
        <v>97</v>
      </c>
      <c r="W10" s="16"/>
      <c r="X10" s="16"/>
      <c r="Y10" s="16"/>
      <c r="Z10" s="16"/>
      <c r="AA10" s="16"/>
      <c r="AB10" s="16"/>
      <c r="AC10" s="16"/>
      <c r="AD10" s="24">
        <f>SUM(N10:AC10)/4</f>
        <v>71.5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93</v>
      </c>
      <c r="O11" s="16"/>
      <c r="P11" s="16"/>
      <c r="Q11" s="16"/>
      <c r="R11" s="16">
        <v>98</v>
      </c>
      <c r="S11" s="16"/>
      <c r="T11" s="16"/>
      <c r="U11" s="16"/>
      <c r="V11" s="16">
        <v>97</v>
      </c>
      <c r="W11" s="16"/>
      <c r="X11" s="16"/>
      <c r="Y11" s="16"/>
      <c r="Z11" s="16"/>
      <c r="AA11" s="16"/>
      <c r="AB11" s="16"/>
      <c r="AC11" s="16"/>
      <c r="AD11" s="24">
        <f>SUM(N11:AC11)/4</f>
        <v>72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99</v>
      </c>
      <c r="O12" s="16"/>
      <c r="P12" s="16"/>
      <c r="Q12" s="16"/>
      <c r="R12" s="16">
        <v>98</v>
      </c>
      <c r="S12" s="16"/>
      <c r="T12" s="16"/>
      <c r="U12" s="16"/>
      <c r="V12" s="16">
        <v>99</v>
      </c>
      <c r="W12" s="16"/>
      <c r="X12" s="16"/>
      <c r="Y12" s="16"/>
      <c r="Z12" s="16"/>
      <c r="AA12" s="16"/>
      <c r="AB12" s="16"/>
      <c r="AC12" s="16"/>
      <c r="AD12" s="24">
        <f>SUM(N12:AC12)/4</f>
        <v>74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98</v>
      </c>
      <c r="O13" s="16"/>
      <c r="P13" s="16"/>
      <c r="Q13" s="16"/>
      <c r="R13" s="16">
        <v>99</v>
      </c>
      <c r="S13" s="16"/>
      <c r="T13" s="16"/>
      <c r="U13" s="16"/>
      <c r="V13" s="16">
        <v>99</v>
      </c>
      <c r="W13" s="16"/>
      <c r="X13" s="16"/>
      <c r="Y13" s="16"/>
      <c r="Z13" s="16"/>
      <c r="AA13" s="16"/>
      <c r="AB13" s="16"/>
      <c r="AC13" s="16"/>
      <c r="AD13" s="24">
        <f>SUM(N13:AC13)/4</f>
        <v>74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96</v>
      </c>
      <c r="O14" s="16"/>
      <c r="P14" s="16"/>
      <c r="Q14" s="16"/>
      <c r="R14" s="16">
        <v>98</v>
      </c>
      <c r="S14" s="16"/>
      <c r="T14" s="16"/>
      <c r="U14" s="16"/>
      <c r="V14" s="16">
        <v>99</v>
      </c>
      <c r="W14" s="16"/>
      <c r="X14" s="16"/>
      <c r="Y14" s="16"/>
      <c r="Z14" s="16"/>
      <c r="AA14" s="16"/>
      <c r="AB14" s="16"/>
      <c r="AC14" s="16"/>
      <c r="AD14" s="24">
        <f>SUM(N14:AC14)/4</f>
        <v>73.25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98</v>
      </c>
      <c r="O15" s="16"/>
      <c r="P15" s="16"/>
      <c r="Q15" s="16"/>
      <c r="R15" s="16">
        <v>98</v>
      </c>
      <c r="S15" s="16"/>
      <c r="T15" s="16"/>
      <c r="U15" s="16"/>
      <c r="V15" s="16">
        <v>97</v>
      </c>
      <c r="W15" s="16"/>
      <c r="X15" s="16"/>
      <c r="Y15" s="16"/>
      <c r="Z15" s="16"/>
      <c r="AA15" s="16"/>
      <c r="AB15" s="16"/>
      <c r="AC15" s="16"/>
      <c r="AD15" s="24">
        <f>SUM(N15:AC15)/4</f>
        <v>73.25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99</v>
      </c>
      <c r="S16" s="16"/>
      <c r="T16" s="16"/>
      <c r="U16" s="16"/>
      <c r="V16" s="16">
        <v>99</v>
      </c>
      <c r="W16" s="16"/>
      <c r="X16" s="16"/>
      <c r="Y16" s="16"/>
      <c r="Z16" s="16"/>
      <c r="AA16" s="16"/>
      <c r="AB16" s="16"/>
      <c r="AC16" s="16"/>
      <c r="AD16" s="24">
        <f>SUM(N16:AC16)/4</f>
        <v>74.25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97</v>
      </c>
      <c r="O17" s="16"/>
      <c r="P17" s="16"/>
      <c r="Q17" s="16"/>
      <c r="R17" s="16">
        <v>100</v>
      </c>
      <c r="S17" s="16"/>
      <c r="T17" s="16"/>
      <c r="U17" s="16"/>
      <c r="V17" s="16">
        <v>100</v>
      </c>
      <c r="W17" s="16"/>
      <c r="X17" s="16"/>
      <c r="Y17" s="16"/>
      <c r="Z17" s="16"/>
      <c r="AA17" s="16"/>
      <c r="AB17" s="16"/>
      <c r="AC17" s="16"/>
      <c r="AD17" s="24">
        <f>SUM(N17:AC17)/4</f>
        <v>74.25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98</v>
      </c>
      <c r="O18" s="22"/>
      <c r="P18" s="22"/>
      <c r="Q18" s="23"/>
      <c r="R18" s="21">
        <v>100</v>
      </c>
      <c r="S18" s="22"/>
      <c r="T18" s="22"/>
      <c r="U18" s="23"/>
      <c r="V18" s="21">
        <v>98</v>
      </c>
      <c r="W18" s="22"/>
      <c r="X18" s="22"/>
      <c r="Y18" s="23"/>
      <c r="Z18" s="21"/>
      <c r="AA18" s="22"/>
      <c r="AB18" s="22"/>
      <c r="AC18" s="23"/>
      <c r="AD18" s="24">
        <f>SUM(N18:AC18)/4</f>
        <v>74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99.25</v>
      </c>
      <c r="O20" s="16"/>
      <c r="P20" s="16"/>
      <c r="Q20" s="16"/>
      <c r="R20" s="16">
        <v>96.4</v>
      </c>
      <c r="S20" s="16"/>
      <c r="T20" s="16"/>
      <c r="U20" s="16"/>
      <c r="V20" s="16">
        <v>98.5</v>
      </c>
      <c r="W20" s="16"/>
      <c r="X20" s="16"/>
      <c r="Y20" s="16"/>
      <c r="Z20" s="16"/>
      <c r="AA20" s="16"/>
      <c r="AB20" s="16"/>
      <c r="AC20" s="16"/>
      <c r="AD20" s="24">
        <f>SUM(N20:AC20)/4</f>
        <v>73.5375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95.5</v>
      </c>
      <c r="O21" s="60"/>
      <c r="P21" s="60"/>
      <c r="Q21" s="60"/>
      <c r="R21" s="60">
        <f>SUM(R7:U13,R18)/8</f>
        <v>97.375</v>
      </c>
      <c r="S21" s="60"/>
      <c r="T21" s="60"/>
      <c r="U21" s="60"/>
      <c r="V21" s="60">
        <f>SUM(V7:Y13,V18)/8</f>
        <v>97.5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72.59375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4</v>
      </c>
      <c r="S27" s="19"/>
      <c r="T27" s="19">
        <v>4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4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4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4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4</v>
      </c>
      <c r="S32" s="19"/>
      <c r="T32" s="19">
        <v>4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4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4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4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4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3.1666666666667</v>
      </c>
      <c r="S38" s="20"/>
      <c r="T38" s="20">
        <f>SUM(T26:U37)/12</f>
        <v>3.75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404147190050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78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83</v>
      </c>
      <c r="O7" s="16"/>
      <c r="P7" s="16"/>
      <c r="Q7" s="16"/>
      <c r="R7" s="16">
        <v>85</v>
      </c>
      <c r="S7" s="16"/>
      <c r="T7" s="16"/>
      <c r="U7" s="16"/>
      <c r="V7" s="16">
        <v>80</v>
      </c>
      <c r="W7" s="16"/>
      <c r="X7" s="16"/>
      <c r="Y7" s="16"/>
      <c r="Z7" s="16"/>
      <c r="AA7" s="16"/>
      <c r="AB7" s="16"/>
      <c r="AC7" s="16"/>
      <c r="AD7" s="24">
        <f>SUM(N7:AC7)/4</f>
        <v>62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90</v>
      </c>
      <c r="O8" s="16"/>
      <c r="P8" s="16"/>
      <c r="Q8" s="16"/>
      <c r="R8" s="16">
        <v>83</v>
      </c>
      <c r="S8" s="16"/>
      <c r="T8" s="16"/>
      <c r="U8" s="16"/>
      <c r="V8" s="16">
        <v>90</v>
      </c>
      <c r="W8" s="16"/>
      <c r="X8" s="16"/>
      <c r="Y8" s="16"/>
      <c r="Z8" s="16"/>
      <c r="AA8" s="16"/>
      <c r="AB8" s="16"/>
      <c r="AC8" s="16"/>
      <c r="AD8" s="24">
        <f>SUM(N8:AC8)/4</f>
        <v>65.75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82</v>
      </c>
      <c r="O9" s="16"/>
      <c r="P9" s="16"/>
      <c r="Q9" s="16"/>
      <c r="R9" s="16">
        <v>84</v>
      </c>
      <c r="S9" s="16"/>
      <c r="T9" s="16"/>
      <c r="U9" s="16"/>
      <c r="V9" s="16">
        <v>82</v>
      </c>
      <c r="W9" s="16"/>
      <c r="X9" s="16"/>
      <c r="Y9" s="16"/>
      <c r="Z9" s="16"/>
      <c r="AA9" s="16"/>
      <c r="AB9" s="16"/>
      <c r="AC9" s="16"/>
      <c r="AD9" s="24">
        <f>SUM(N9:AC9)/4</f>
        <v>62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85</v>
      </c>
      <c r="O10" s="16"/>
      <c r="P10" s="16"/>
      <c r="Q10" s="16"/>
      <c r="R10" s="16">
        <v>87</v>
      </c>
      <c r="S10" s="16"/>
      <c r="T10" s="16"/>
      <c r="U10" s="16"/>
      <c r="V10" s="16">
        <v>83</v>
      </c>
      <c r="W10" s="16"/>
      <c r="X10" s="16"/>
      <c r="Y10" s="16"/>
      <c r="Z10" s="16"/>
      <c r="AA10" s="16"/>
      <c r="AB10" s="16"/>
      <c r="AC10" s="16"/>
      <c r="AD10" s="24">
        <f>SUM(N10:AC10)/4</f>
        <v>63.75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82</v>
      </c>
      <c r="O11" s="16"/>
      <c r="P11" s="16"/>
      <c r="Q11" s="16"/>
      <c r="R11" s="16">
        <v>89</v>
      </c>
      <c r="S11" s="16"/>
      <c r="T11" s="16"/>
      <c r="U11" s="16"/>
      <c r="V11" s="16">
        <v>88</v>
      </c>
      <c r="W11" s="16"/>
      <c r="X11" s="16"/>
      <c r="Y11" s="16"/>
      <c r="Z11" s="16"/>
      <c r="AA11" s="16"/>
      <c r="AB11" s="16"/>
      <c r="AC11" s="16"/>
      <c r="AD11" s="24">
        <f>SUM(N11:AC11)/4</f>
        <v>64.75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95</v>
      </c>
      <c r="O12" s="16"/>
      <c r="P12" s="16"/>
      <c r="Q12" s="16"/>
      <c r="R12" s="16">
        <v>93</v>
      </c>
      <c r="S12" s="16"/>
      <c r="T12" s="16"/>
      <c r="U12" s="16"/>
      <c r="V12" s="16">
        <v>94</v>
      </c>
      <c r="W12" s="16"/>
      <c r="X12" s="16"/>
      <c r="Y12" s="16"/>
      <c r="Z12" s="16"/>
      <c r="AA12" s="16"/>
      <c r="AB12" s="16"/>
      <c r="AC12" s="16"/>
      <c r="AD12" s="24">
        <f>SUM(N12:AC12)/4</f>
        <v>70.5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95</v>
      </c>
      <c r="O13" s="16"/>
      <c r="P13" s="16"/>
      <c r="Q13" s="16"/>
      <c r="R13" s="16">
        <v>94</v>
      </c>
      <c r="S13" s="16"/>
      <c r="T13" s="16"/>
      <c r="U13" s="16"/>
      <c r="V13" s="16">
        <v>94</v>
      </c>
      <c r="W13" s="16"/>
      <c r="X13" s="16"/>
      <c r="Y13" s="16"/>
      <c r="Z13" s="16"/>
      <c r="AA13" s="16"/>
      <c r="AB13" s="16"/>
      <c r="AC13" s="16"/>
      <c r="AD13" s="24">
        <f>SUM(N13:AC13)/4</f>
        <v>70.75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91</v>
      </c>
      <c r="O14" s="16"/>
      <c r="P14" s="16"/>
      <c r="Q14" s="16"/>
      <c r="R14" s="16">
        <v>88</v>
      </c>
      <c r="S14" s="16"/>
      <c r="T14" s="16"/>
      <c r="U14" s="16"/>
      <c r="V14" s="16">
        <v>87</v>
      </c>
      <c r="W14" s="16"/>
      <c r="X14" s="16"/>
      <c r="Y14" s="16"/>
      <c r="Z14" s="16"/>
      <c r="AA14" s="16"/>
      <c r="AB14" s="16"/>
      <c r="AC14" s="16"/>
      <c r="AD14" s="24">
        <f>SUM(N14:AC14)/4</f>
        <v>66.5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91</v>
      </c>
      <c r="O15" s="16"/>
      <c r="P15" s="16"/>
      <c r="Q15" s="16"/>
      <c r="R15" s="16">
        <v>92</v>
      </c>
      <c r="S15" s="16"/>
      <c r="T15" s="16"/>
      <c r="U15" s="16"/>
      <c r="V15" s="16">
        <v>94</v>
      </c>
      <c r="W15" s="16"/>
      <c r="X15" s="16"/>
      <c r="Y15" s="16"/>
      <c r="Z15" s="16"/>
      <c r="AA15" s="16"/>
      <c r="AB15" s="16"/>
      <c r="AC15" s="16"/>
      <c r="AD15" s="24">
        <f>SUM(N15:AC15)/4</f>
        <v>69.25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98</v>
      </c>
      <c r="O16" s="16"/>
      <c r="P16" s="16"/>
      <c r="Q16" s="16"/>
      <c r="R16" s="16">
        <v>99</v>
      </c>
      <c r="S16" s="16"/>
      <c r="T16" s="16"/>
      <c r="U16" s="16"/>
      <c r="V16" s="16">
        <v>99</v>
      </c>
      <c r="W16" s="16"/>
      <c r="X16" s="16"/>
      <c r="Y16" s="16"/>
      <c r="Z16" s="16"/>
      <c r="AA16" s="16"/>
      <c r="AB16" s="16"/>
      <c r="AC16" s="16"/>
      <c r="AD16" s="24">
        <f>SUM(N16:AC16)/4</f>
        <v>74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99</v>
      </c>
      <c r="O17" s="16"/>
      <c r="P17" s="16"/>
      <c r="Q17" s="16"/>
      <c r="R17" s="16">
        <v>98</v>
      </c>
      <c r="S17" s="16"/>
      <c r="T17" s="16"/>
      <c r="U17" s="16"/>
      <c r="V17" s="16">
        <v>95</v>
      </c>
      <c r="W17" s="16"/>
      <c r="X17" s="16"/>
      <c r="Y17" s="16"/>
      <c r="Z17" s="16"/>
      <c r="AA17" s="16"/>
      <c r="AB17" s="16"/>
      <c r="AC17" s="16"/>
      <c r="AD17" s="24">
        <f>SUM(N17:AC17)/4</f>
        <v>73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96</v>
      </c>
      <c r="O18" s="22"/>
      <c r="P18" s="22"/>
      <c r="Q18" s="23"/>
      <c r="R18" s="21">
        <v>94</v>
      </c>
      <c r="S18" s="22"/>
      <c r="T18" s="22"/>
      <c r="U18" s="23"/>
      <c r="V18" s="21">
        <v>94</v>
      </c>
      <c r="W18" s="22"/>
      <c r="X18" s="22"/>
      <c r="Y18" s="23"/>
      <c r="Z18" s="21"/>
      <c r="AA18" s="22"/>
      <c r="AB18" s="22"/>
      <c r="AC18" s="23"/>
      <c r="AD18" s="24">
        <f>SUM(N18:AC18)/4</f>
        <v>71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90.9</v>
      </c>
      <c r="O20" s="16"/>
      <c r="P20" s="16"/>
      <c r="Q20" s="16"/>
      <c r="R20" s="16">
        <v>83.4</v>
      </c>
      <c r="S20" s="16"/>
      <c r="T20" s="16"/>
      <c r="U20" s="16"/>
      <c r="V20" s="16">
        <v>84.55</v>
      </c>
      <c r="W20" s="16"/>
      <c r="X20" s="16"/>
      <c r="Y20" s="16"/>
      <c r="Z20" s="16"/>
      <c r="AA20" s="16"/>
      <c r="AB20" s="16"/>
      <c r="AC20" s="16"/>
      <c r="AD20" s="24">
        <f>SUM(N20:AC20)/4</f>
        <v>64.7125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88.5</v>
      </c>
      <c r="O21" s="60"/>
      <c r="P21" s="60"/>
      <c r="Q21" s="60"/>
      <c r="R21" s="60">
        <f>SUM(R7:U13,R18)/8</f>
        <v>88.625</v>
      </c>
      <c r="S21" s="60"/>
      <c r="T21" s="60"/>
      <c r="U21" s="60"/>
      <c r="V21" s="60">
        <f>SUM(V7:Y13,V18)/8</f>
        <v>88.125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66.3125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404147190052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79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93</v>
      </c>
      <c r="O7" s="16"/>
      <c r="P7" s="16"/>
      <c r="Q7" s="16"/>
      <c r="R7" s="16">
        <v>93</v>
      </c>
      <c r="S7" s="16"/>
      <c r="T7" s="16"/>
      <c r="U7" s="16"/>
      <c r="V7" s="16">
        <v>91</v>
      </c>
      <c r="W7" s="16"/>
      <c r="X7" s="16"/>
      <c r="Y7" s="16"/>
      <c r="Z7" s="16"/>
      <c r="AA7" s="16"/>
      <c r="AB7" s="16"/>
      <c r="AC7" s="16"/>
      <c r="AD7" s="24">
        <f>SUM(N7:AC7)/4</f>
        <v>69.25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96</v>
      </c>
      <c r="O8" s="16"/>
      <c r="P8" s="16"/>
      <c r="Q8" s="16"/>
      <c r="R8" s="16">
        <v>91</v>
      </c>
      <c r="S8" s="16"/>
      <c r="T8" s="16"/>
      <c r="U8" s="16"/>
      <c r="V8" s="16">
        <v>96</v>
      </c>
      <c r="W8" s="16"/>
      <c r="X8" s="16"/>
      <c r="Y8" s="16"/>
      <c r="Z8" s="16"/>
      <c r="AA8" s="16"/>
      <c r="AB8" s="16"/>
      <c r="AC8" s="16"/>
      <c r="AD8" s="24">
        <f>SUM(N8:AC8)/4</f>
        <v>70.75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96</v>
      </c>
      <c r="O9" s="16"/>
      <c r="P9" s="16"/>
      <c r="Q9" s="16"/>
      <c r="R9" s="16">
        <v>96</v>
      </c>
      <c r="S9" s="16"/>
      <c r="T9" s="16"/>
      <c r="U9" s="16"/>
      <c r="V9" s="16">
        <v>97</v>
      </c>
      <c r="W9" s="16"/>
      <c r="X9" s="16"/>
      <c r="Y9" s="16"/>
      <c r="Z9" s="16"/>
      <c r="AA9" s="16"/>
      <c r="AB9" s="16"/>
      <c r="AC9" s="16"/>
      <c r="AD9" s="24">
        <f>SUM(N9:AC9)/4</f>
        <v>72.25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91</v>
      </c>
      <c r="O10" s="16"/>
      <c r="P10" s="16"/>
      <c r="Q10" s="16"/>
      <c r="R10" s="16">
        <v>96</v>
      </c>
      <c r="S10" s="16"/>
      <c r="T10" s="16"/>
      <c r="U10" s="16"/>
      <c r="V10" s="16">
        <v>95</v>
      </c>
      <c r="W10" s="16"/>
      <c r="X10" s="16"/>
      <c r="Y10" s="16"/>
      <c r="Z10" s="16"/>
      <c r="AA10" s="16"/>
      <c r="AB10" s="16"/>
      <c r="AC10" s="16"/>
      <c r="AD10" s="24">
        <f>SUM(N10:AC10)/4</f>
        <v>70.5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86</v>
      </c>
      <c r="O11" s="16"/>
      <c r="P11" s="16"/>
      <c r="Q11" s="16"/>
      <c r="R11" s="16">
        <v>92</v>
      </c>
      <c r="S11" s="16"/>
      <c r="T11" s="16"/>
      <c r="U11" s="16"/>
      <c r="V11" s="16">
        <v>91</v>
      </c>
      <c r="W11" s="16"/>
      <c r="X11" s="16"/>
      <c r="Y11" s="16"/>
      <c r="Z11" s="16"/>
      <c r="AA11" s="16"/>
      <c r="AB11" s="16"/>
      <c r="AC11" s="16"/>
      <c r="AD11" s="24">
        <f>SUM(N11:AC11)/4</f>
        <v>67.25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99</v>
      </c>
      <c r="O12" s="16"/>
      <c r="P12" s="16"/>
      <c r="Q12" s="16"/>
      <c r="R12" s="16">
        <v>99</v>
      </c>
      <c r="S12" s="16"/>
      <c r="T12" s="16"/>
      <c r="U12" s="16"/>
      <c r="V12" s="16">
        <v>98</v>
      </c>
      <c r="W12" s="16"/>
      <c r="X12" s="16"/>
      <c r="Y12" s="16"/>
      <c r="Z12" s="16"/>
      <c r="AA12" s="16"/>
      <c r="AB12" s="16"/>
      <c r="AC12" s="16"/>
      <c r="AD12" s="24">
        <f>SUM(N12:AC12)/4</f>
        <v>74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97</v>
      </c>
      <c r="O13" s="16"/>
      <c r="P13" s="16"/>
      <c r="Q13" s="16"/>
      <c r="R13" s="16">
        <v>99</v>
      </c>
      <c r="S13" s="16"/>
      <c r="T13" s="16"/>
      <c r="U13" s="16"/>
      <c r="V13" s="16">
        <v>99</v>
      </c>
      <c r="W13" s="16"/>
      <c r="X13" s="16"/>
      <c r="Y13" s="16"/>
      <c r="Z13" s="16"/>
      <c r="AA13" s="16"/>
      <c r="AB13" s="16"/>
      <c r="AC13" s="16"/>
      <c r="AD13" s="24">
        <f>SUM(N13:AC13)/4</f>
        <v>73.75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96</v>
      </c>
      <c r="O14" s="16"/>
      <c r="P14" s="16"/>
      <c r="Q14" s="16"/>
      <c r="R14" s="16">
        <v>100</v>
      </c>
      <c r="S14" s="16"/>
      <c r="T14" s="16"/>
      <c r="U14" s="16"/>
      <c r="V14" s="16">
        <v>99</v>
      </c>
      <c r="W14" s="16"/>
      <c r="X14" s="16"/>
      <c r="Y14" s="16"/>
      <c r="Z14" s="16"/>
      <c r="AA14" s="16"/>
      <c r="AB14" s="16"/>
      <c r="AC14" s="16"/>
      <c r="AD14" s="24">
        <f>SUM(N14:AC14)/4</f>
        <v>73.75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95</v>
      </c>
      <c r="O15" s="16"/>
      <c r="P15" s="16"/>
      <c r="Q15" s="16"/>
      <c r="R15" s="16">
        <v>98</v>
      </c>
      <c r="S15" s="16"/>
      <c r="T15" s="16"/>
      <c r="U15" s="16"/>
      <c r="V15" s="16">
        <v>96</v>
      </c>
      <c r="W15" s="16"/>
      <c r="X15" s="16"/>
      <c r="Y15" s="16"/>
      <c r="Z15" s="16"/>
      <c r="AA15" s="16"/>
      <c r="AB15" s="16"/>
      <c r="AC15" s="16"/>
      <c r="AD15" s="24">
        <f>SUM(N15:AC15)/4</f>
        <v>72.25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98</v>
      </c>
      <c r="O16" s="16"/>
      <c r="P16" s="16"/>
      <c r="Q16" s="16"/>
      <c r="R16" s="16">
        <v>99</v>
      </c>
      <c r="S16" s="16"/>
      <c r="T16" s="16"/>
      <c r="U16" s="16"/>
      <c r="V16" s="16">
        <v>99</v>
      </c>
      <c r="W16" s="16"/>
      <c r="X16" s="16"/>
      <c r="Y16" s="16"/>
      <c r="Z16" s="16"/>
      <c r="AA16" s="16"/>
      <c r="AB16" s="16"/>
      <c r="AC16" s="16"/>
      <c r="AD16" s="24">
        <f>SUM(N16:AC16)/4</f>
        <v>74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100</v>
      </c>
      <c r="O17" s="16"/>
      <c r="P17" s="16"/>
      <c r="Q17" s="16"/>
      <c r="R17" s="16">
        <v>99</v>
      </c>
      <c r="S17" s="16"/>
      <c r="T17" s="16"/>
      <c r="U17" s="16"/>
      <c r="V17" s="16">
        <v>100</v>
      </c>
      <c r="W17" s="16"/>
      <c r="X17" s="16"/>
      <c r="Y17" s="16"/>
      <c r="Z17" s="16"/>
      <c r="AA17" s="16"/>
      <c r="AB17" s="16"/>
      <c r="AC17" s="16"/>
      <c r="AD17" s="24">
        <f>SUM(N17:AC17)/4</f>
        <v>74.75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95</v>
      </c>
      <c r="O18" s="22"/>
      <c r="P18" s="22"/>
      <c r="Q18" s="23"/>
      <c r="R18" s="21">
        <v>96</v>
      </c>
      <c r="S18" s="22"/>
      <c r="T18" s="22"/>
      <c r="U18" s="23"/>
      <c r="V18" s="21">
        <v>98</v>
      </c>
      <c r="W18" s="22"/>
      <c r="X18" s="22"/>
      <c r="Y18" s="23"/>
      <c r="Z18" s="21"/>
      <c r="AA18" s="22"/>
      <c r="AB18" s="22"/>
      <c r="AC18" s="23"/>
      <c r="AD18" s="24">
        <f>SUM(N18:AC18)/4</f>
        <v>72.25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95.55</v>
      </c>
      <c r="O20" s="16"/>
      <c r="P20" s="16"/>
      <c r="Q20" s="16"/>
      <c r="R20" s="16">
        <v>96.3</v>
      </c>
      <c r="S20" s="16"/>
      <c r="T20" s="16"/>
      <c r="U20" s="16"/>
      <c r="V20" s="16">
        <v>97.7</v>
      </c>
      <c r="W20" s="16"/>
      <c r="X20" s="16"/>
      <c r="Y20" s="16"/>
      <c r="Z20" s="16"/>
      <c r="AA20" s="16"/>
      <c r="AB20" s="16"/>
      <c r="AC20" s="16"/>
      <c r="AD20" s="24">
        <f>SUM(N20:AC20)/4</f>
        <v>72.3875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94.125</v>
      </c>
      <c r="O21" s="60"/>
      <c r="P21" s="60"/>
      <c r="Q21" s="60"/>
      <c r="R21" s="60">
        <f>SUM(R7:U13,R18)/8</f>
        <v>95.25</v>
      </c>
      <c r="S21" s="60"/>
      <c r="T21" s="60"/>
      <c r="U21" s="60"/>
      <c r="V21" s="60">
        <f>SUM(V7:Y13,V18)/8</f>
        <v>95.625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71.25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4</v>
      </c>
      <c r="S27" s="19"/>
      <c r="T27" s="19">
        <v>4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4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4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4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4</v>
      </c>
      <c r="S36" s="19"/>
      <c r="T36" s="19">
        <v>4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3.1666666666667</v>
      </c>
      <c r="S38" s="20"/>
      <c r="T38" s="20">
        <f>SUM(T26:U37)/12</f>
        <v>3.4166666666667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442005180005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80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92</v>
      </c>
      <c r="O7" s="16"/>
      <c r="P7" s="16"/>
      <c r="Q7" s="16"/>
      <c r="R7" s="16">
        <v>96</v>
      </c>
      <c r="S7" s="16"/>
      <c r="T7" s="16"/>
      <c r="U7" s="16"/>
      <c r="V7" s="16">
        <v>90</v>
      </c>
      <c r="W7" s="16"/>
      <c r="X7" s="16"/>
      <c r="Y7" s="16"/>
      <c r="Z7" s="16"/>
      <c r="AA7" s="16"/>
      <c r="AB7" s="16"/>
      <c r="AC7" s="16"/>
      <c r="AD7" s="24">
        <f>SUM(N7:AC7)/4</f>
        <v>69.5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95</v>
      </c>
      <c r="O8" s="16"/>
      <c r="P8" s="16"/>
      <c r="Q8" s="16"/>
      <c r="R8" s="16">
        <v>86</v>
      </c>
      <c r="S8" s="16"/>
      <c r="T8" s="16"/>
      <c r="U8" s="16"/>
      <c r="V8" s="16">
        <v>96</v>
      </c>
      <c r="W8" s="16"/>
      <c r="X8" s="16"/>
      <c r="Y8" s="16"/>
      <c r="Z8" s="16"/>
      <c r="AA8" s="16"/>
      <c r="AB8" s="16"/>
      <c r="AC8" s="16"/>
      <c r="AD8" s="24">
        <f>SUM(N8:AC8)/4</f>
        <v>69.25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98</v>
      </c>
      <c r="O9" s="16"/>
      <c r="P9" s="16"/>
      <c r="Q9" s="16"/>
      <c r="R9" s="16">
        <v>96</v>
      </c>
      <c r="S9" s="16"/>
      <c r="T9" s="16"/>
      <c r="U9" s="16"/>
      <c r="V9" s="16">
        <v>97</v>
      </c>
      <c r="W9" s="16"/>
      <c r="X9" s="16"/>
      <c r="Y9" s="16"/>
      <c r="Z9" s="16"/>
      <c r="AA9" s="16"/>
      <c r="AB9" s="16"/>
      <c r="AC9" s="16"/>
      <c r="AD9" s="24">
        <f>SUM(N9:AC9)/4</f>
        <v>72.75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89</v>
      </c>
      <c r="O10" s="16"/>
      <c r="P10" s="16"/>
      <c r="Q10" s="16"/>
      <c r="R10" s="16">
        <v>94</v>
      </c>
      <c r="S10" s="16"/>
      <c r="T10" s="16"/>
      <c r="U10" s="16"/>
      <c r="V10" s="16">
        <v>88</v>
      </c>
      <c r="W10" s="16"/>
      <c r="X10" s="16"/>
      <c r="Y10" s="16"/>
      <c r="Z10" s="16"/>
      <c r="AA10" s="16"/>
      <c r="AB10" s="16"/>
      <c r="AC10" s="16"/>
      <c r="AD10" s="24">
        <f>SUM(N10:AC10)/4</f>
        <v>67.75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88</v>
      </c>
      <c r="O11" s="16"/>
      <c r="P11" s="16"/>
      <c r="Q11" s="16"/>
      <c r="R11" s="16">
        <v>93</v>
      </c>
      <c r="S11" s="16"/>
      <c r="T11" s="16"/>
      <c r="U11" s="16"/>
      <c r="V11" s="16">
        <v>92</v>
      </c>
      <c r="W11" s="16"/>
      <c r="X11" s="16"/>
      <c r="Y11" s="16"/>
      <c r="Z11" s="16"/>
      <c r="AA11" s="16"/>
      <c r="AB11" s="16"/>
      <c r="AC11" s="16"/>
      <c r="AD11" s="24">
        <f>SUM(N11:AC11)/4</f>
        <v>68.25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99</v>
      </c>
      <c r="O12" s="16"/>
      <c r="P12" s="16"/>
      <c r="Q12" s="16"/>
      <c r="R12" s="16">
        <v>99</v>
      </c>
      <c r="S12" s="16"/>
      <c r="T12" s="16"/>
      <c r="U12" s="16"/>
      <c r="V12" s="16">
        <v>98</v>
      </c>
      <c r="W12" s="16"/>
      <c r="X12" s="16"/>
      <c r="Y12" s="16"/>
      <c r="Z12" s="16"/>
      <c r="AA12" s="16"/>
      <c r="AB12" s="16"/>
      <c r="AC12" s="16"/>
      <c r="AD12" s="24">
        <f>SUM(N12:AC12)/4</f>
        <v>74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96</v>
      </c>
      <c r="O13" s="16"/>
      <c r="P13" s="16"/>
      <c r="Q13" s="16"/>
      <c r="R13" s="16">
        <v>95</v>
      </c>
      <c r="S13" s="16"/>
      <c r="T13" s="16"/>
      <c r="U13" s="16"/>
      <c r="V13" s="16">
        <v>97</v>
      </c>
      <c r="W13" s="16"/>
      <c r="X13" s="16"/>
      <c r="Y13" s="16"/>
      <c r="Z13" s="16"/>
      <c r="AA13" s="16"/>
      <c r="AB13" s="16"/>
      <c r="AC13" s="16"/>
      <c r="AD13" s="24">
        <f>SUM(N13:AC13)/4</f>
        <v>72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96</v>
      </c>
      <c r="O14" s="16"/>
      <c r="P14" s="16"/>
      <c r="Q14" s="16"/>
      <c r="R14" s="16">
        <v>90</v>
      </c>
      <c r="S14" s="16"/>
      <c r="T14" s="16"/>
      <c r="U14" s="16"/>
      <c r="V14" s="16">
        <v>97</v>
      </c>
      <c r="W14" s="16"/>
      <c r="X14" s="16"/>
      <c r="Y14" s="16"/>
      <c r="Z14" s="16"/>
      <c r="AA14" s="16"/>
      <c r="AB14" s="16"/>
      <c r="AC14" s="16"/>
      <c r="AD14" s="24">
        <f>SUM(N14:AC14)/4</f>
        <v>70.75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91</v>
      </c>
      <c r="O15" s="16"/>
      <c r="P15" s="16"/>
      <c r="Q15" s="16"/>
      <c r="R15" s="16">
        <v>92</v>
      </c>
      <c r="S15" s="16"/>
      <c r="T15" s="16"/>
      <c r="U15" s="16"/>
      <c r="V15" s="16">
        <v>93</v>
      </c>
      <c r="W15" s="16"/>
      <c r="X15" s="16"/>
      <c r="Y15" s="16"/>
      <c r="Z15" s="16"/>
      <c r="AA15" s="16"/>
      <c r="AB15" s="16"/>
      <c r="AC15" s="16"/>
      <c r="AD15" s="24">
        <f>SUM(N15:AC15)/4</f>
        <v>69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97</v>
      </c>
      <c r="O16" s="16"/>
      <c r="P16" s="16"/>
      <c r="Q16" s="16"/>
      <c r="R16" s="16">
        <v>97</v>
      </c>
      <c r="S16" s="16"/>
      <c r="T16" s="16"/>
      <c r="U16" s="16"/>
      <c r="V16" s="16">
        <v>97</v>
      </c>
      <c r="W16" s="16"/>
      <c r="X16" s="16"/>
      <c r="Y16" s="16"/>
      <c r="Z16" s="16"/>
      <c r="AA16" s="16"/>
      <c r="AB16" s="16"/>
      <c r="AC16" s="16"/>
      <c r="AD16" s="24">
        <f>SUM(N16:AC16)/4</f>
        <v>72.75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99</v>
      </c>
      <c r="O17" s="16"/>
      <c r="P17" s="16"/>
      <c r="Q17" s="16"/>
      <c r="R17" s="16">
        <v>99</v>
      </c>
      <c r="S17" s="16"/>
      <c r="T17" s="16"/>
      <c r="U17" s="16"/>
      <c r="V17" s="16">
        <v>100</v>
      </c>
      <c r="W17" s="16"/>
      <c r="X17" s="16"/>
      <c r="Y17" s="16"/>
      <c r="Z17" s="16"/>
      <c r="AA17" s="16"/>
      <c r="AB17" s="16"/>
      <c r="AC17" s="16"/>
      <c r="AD17" s="24">
        <f>SUM(N17:AC17)/4</f>
        <v>74.5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97</v>
      </c>
      <c r="O18" s="22"/>
      <c r="P18" s="22"/>
      <c r="Q18" s="23"/>
      <c r="R18" s="21">
        <v>92</v>
      </c>
      <c r="S18" s="22"/>
      <c r="T18" s="22"/>
      <c r="U18" s="23"/>
      <c r="V18" s="21">
        <v>95</v>
      </c>
      <c r="W18" s="22"/>
      <c r="X18" s="22"/>
      <c r="Y18" s="23"/>
      <c r="Z18" s="21"/>
      <c r="AA18" s="22"/>
      <c r="AB18" s="22"/>
      <c r="AC18" s="23"/>
      <c r="AD18" s="24">
        <f>SUM(N18:AC18)/4</f>
        <v>71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96.1</v>
      </c>
      <c r="O20" s="16"/>
      <c r="P20" s="16"/>
      <c r="Q20" s="16"/>
      <c r="R20" s="16">
        <v>97</v>
      </c>
      <c r="S20" s="16"/>
      <c r="T20" s="16"/>
      <c r="U20" s="16"/>
      <c r="V20" s="16">
        <v>97.9</v>
      </c>
      <c r="W20" s="16"/>
      <c r="X20" s="16"/>
      <c r="Y20" s="16"/>
      <c r="Z20" s="16"/>
      <c r="AA20" s="16"/>
      <c r="AB20" s="16"/>
      <c r="AC20" s="16"/>
      <c r="AD20" s="24">
        <f>SUM(N20:AC20)/4</f>
        <v>72.75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94.25</v>
      </c>
      <c r="O21" s="60"/>
      <c r="P21" s="60"/>
      <c r="Q21" s="60"/>
      <c r="R21" s="60">
        <f>SUM(R7:U13,R18)/8</f>
        <v>93.875</v>
      </c>
      <c r="S21" s="60"/>
      <c r="T21" s="60"/>
      <c r="U21" s="60"/>
      <c r="V21" s="60">
        <f>SUM(V7:Y13,V18)/8</f>
        <v>94.125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70.5625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2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2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2.8333333333333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404145180071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81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91</v>
      </c>
      <c r="O7" s="16"/>
      <c r="P7" s="16"/>
      <c r="Q7" s="16"/>
      <c r="R7" s="16">
        <v>90</v>
      </c>
      <c r="S7" s="16"/>
      <c r="T7" s="16"/>
      <c r="U7" s="16"/>
      <c r="V7" s="16">
        <v>90</v>
      </c>
      <c r="W7" s="16"/>
      <c r="X7" s="16"/>
      <c r="Y7" s="16"/>
      <c r="Z7" s="16"/>
      <c r="AA7" s="16"/>
      <c r="AB7" s="16"/>
      <c r="AC7" s="16"/>
      <c r="AD7" s="24">
        <f>SUM(N7:AC7)/4</f>
        <v>67.75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92</v>
      </c>
      <c r="O8" s="16"/>
      <c r="P8" s="16"/>
      <c r="Q8" s="16"/>
      <c r="R8" s="16">
        <v>91</v>
      </c>
      <c r="S8" s="16"/>
      <c r="T8" s="16"/>
      <c r="U8" s="16"/>
      <c r="V8" s="16">
        <v>95</v>
      </c>
      <c r="W8" s="16"/>
      <c r="X8" s="16"/>
      <c r="Y8" s="16"/>
      <c r="Z8" s="16"/>
      <c r="AA8" s="16"/>
      <c r="AB8" s="16"/>
      <c r="AC8" s="16"/>
      <c r="AD8" s="24">
        <f>SUM(N8:AC8)/4</f>
        <v>69.5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95</v>
      </c>
      <c r="O9" s="16"/>
      <c r="P9" s="16"/>
      <c r="Q9" s="16"/>
      <c r="R9" s="16">
        <v>91</v>
      </c>
      <c r="S9" s="16"/>
      <c r="T9" s="16"/>
      <c r="U9" s="16"/>
      <c r="V9" s="16">
        <v>93</v>
      </c>
      <c r="W9" s="16"/>
      <c r="X9" s="16"/>
      <c r="Y9" s="16"/>
      <c r="Z9" s="16"/>
      <c r="AA9" s="16"/>
      <c r="AB9" s="16"/>
      <c r="AC9" s="16"/>
      <c r="AD9" s="24">
        <f>SUM(N9:AC9)/4</f>
        <v>69.75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89</v>
      </c>
      <c r="O10" s="16"/>
      <c r="P10" s="16"/>
      <c r="Q10" s="16"/>
      <c r="R10" s="16">
        <v>94</v>
      </c>
      <c r="S10" s="16"/>
      <c r="T10" s="16"/>
      <c r="U10" s="16"/>
      <c r="V10" s="16">
        <v>93</v>
      </c>
      <c r="W10" s="16"/>
      <c r="X10" s="16"/>
      <c r="Y10" s="16"/>
      <c r="Z10" s="16"/>
      <c r="AA10" s="16"/>
      <c r="AB10" s="16"/>
      <c r="AC10" s="16"/>
      <c r="AD10" s="24">
        <f>SUM(N10:AC10)/4</f>
        <v>69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86</v>
      </c>
      <c r="O11" s="16"/>
      <c r="P11" s="16"/>
      <c r="Q11" s="16"/>
      <c r="R11" s="16">
        <v>93</v>
      </c>
      <c r="S11" s="16"/>
      <c r="T11" s="16"/>
      <c r="U11" s="16"/>
      <c r="V11" s="16">
        <v>97</v>
      </c>
      <c r="W11" s="16"/>
      <c r="X11" s="16"/>
      <c r="Y11" s="16"/>
      <c r="Z11" s="16"/>
      <c r="AA11" s="16"/>
      <c r="AB11" s="16"/>
      <c r="AC11" s="16"/>
      <c r="AD11" s="24">
        <f>SUM(N11:AC11)/4</f>
        <v>69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96</v>
      </c>
      <c r="O12" s="16"/>
      <c r="P12" s="16"/>
      <c r="Q12" s="16"/>
      <c r="R12" s="16">
        <v>97</v>
      </c>
      <c r="S12" s="16"/>
      <c r="T12" s="16"/>
      <c r="U12" s="16"/>
      <c r="V12" s="16">
        <v>99</v>
      </c>
      <c r="W12" s="16"/>
      <c r="X12" s="16"/>
      <c r="Y12" s="16"/>
      <c r="Z12" s="16"/>
      <c r="AA12" s="16"/>
      <c r="AB12" s="16"/>
      <c r="AC12" s="16"/>
      <c r="AD12" s="24">
        <f>SUM(N12:AC12)/4</f>
        <v>73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96</v>
      </c>
      <c r="O13" s="16"/>
      <c r="P13" s="16"/>
      <c r="Q13" s="16"/>
      <c r="R13" s="16">
        <v>97</v>
      </c>
      <c r="S13" s="16"/>
      <c r="T13" s="16"/>
      <c r="U13" s="16"/>
      <c r="V13" s="16">
        <v>97</v>
      </c>
      <c r="W13" s="16"/>
      <c r="X13" s="16"/>
      <c r="Y13" s="16"/>
      <c r="Z13" s="16"/>
      <c r="AA13" s="16"/>
      <c r="AB13" s="16"/>
      <c r="AC13" s="16"/>
      <c r="AD13" s="24">
        <f>SUM(N13:AC13)/4</f>
        <v>72.5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96</v>
      </c>
      <c r="O14" s="16"/>
      <c r="P14" s="16"/>
      <c r="Q14" s="16"/>
      <c r="R14" s="16">
        <v>94</v>
      </c>
      <c r="S14" s="16"/>
      <c r="T14" s="16"/>
      <c r="U14" s="16"/>
      <c r="V14" s="16">
        <v>96</v>
      </c>
      <c r="W14" s="16"/>
      <c r="X14" s="16"/>
      <c r="Y14" s="16"/>
      <c r="Z14" s="16"/>
      <c r="AA14" s="16"/>
      <c r="AB14" s="16"/>
      <c r="AC14" s="16"/>
      <c r="AD14" s="24">
        <f>SUM(N14:AC14)/4</f>
        <v>71.5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91</v>
      </c>
      <c r="O15" s="16"/>
      <c r="P15" s="16"/>
      <c r="Q15" s="16"/>
      <c r="R15" s="16">
        <v>94</v>
      </c>
      <c r="S15" s="16"/>
      <c r="T15" s="16"/>
      <c r="U15" s="16"/>
      <c r="V15" s="16">
        <v>95</v>
      </c>
      <c r="W15" s="16"/>
      <c r="X15" s="16"/>
      <c r="Y15" s="16"/>
      <c r="Z15" s="16"/>
      <c r="AA15" s="16"/>
      <c r="AB15" s="16"/>
      <c r="AC15" s="16"/>
      <c r="AD15" s="24">
        <f>SUM(N15:AC15)/4</f>
        <v>70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98</v>
      </c>
      <c r="O16" s="16"/>
      <c r="P16" s="16"/>
      <c r="Q16" s="16"/>
      <c r="R16" s="16">
        <v>100</v>
      </c>
      <c r="S16" s="16"/>
      <c r="T16" s="16"/>
      <c r="U16" s="16"/>
      <c r="V16" s="16">
        <v>98</v>
      </c>
      <c r="W16" s="16"/>
      <c r="X16" s="16"/>
      <c r="Y16" s="16"/>
      <c r="Z16" s="16"/>
      <c r="AA16" s="16"/>
      <c r="AB16" s="16"/>
      <c r="AC16" s="16"/>
      <c r="AD16" s="24">
        <f>SUM(N16:AC16)/4</f>
        <v>74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100</v>
      </c>
      <c r="O17" s="16"/>
      <c r="P17" s="16"/>
      <c r="Q17" s="16"/>
      <c r="R17" s="16">
        <v>99</v>
      </c>
      <c r="S17" s="16"/>
      <c r="T17" s="16"/>
      <c r="U17" s="16"/>
      <c r="V17" s="16">
        <v>99</v>
      </c>
      <c r="W17" s="16"/>
      <c r="X17" s="16"/>
      <c r="Y17" s="16"/>
      <c r="Z17" s="16"/>
      <c r="AA17" s="16"/>
      <c r="AB17" s="16"/>
      <c r="AC17" s="16"/>
      <c r="AD17" s="24">
        <f>SUM(N17:AC17)/4</f>
        <v>74.5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92</v>
      </c>
      <c r="O18" s="22"/>
      <c r="P18" s="22"/>
      <c r="Q18" s="23"/>
      <c r="R18" s="21">
        <v>96</v>
      </c>
      <c r="S18" s="22"/>
      <c r="T18" s="22"/>
      <c r="U18" s="23"/>
      <c r="V18" s="21">
        <v>94</v>
      </c>
      <c r="W18" s="22"/>
      <c r="X18" s="22"/>
      <c r="Y18" s="23"/>
      <c r="Z18" s="21"/>
      <c r="AA18" s="22"/>
      <c r="AB18" s="22"/>
      <c r="AC18" s="23"/>
      <c r="AD18" s="24">
        <f>SUM(N18:AC18)/4</f>
        <v>70.5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92.0</v>
      </c>
      <c r="O20" s="16"/>
      <c r="P20" s="16"/>
      <c r="Q20" s="16"/>
      <c r="R20" s="16">
        <v>92.3</v>
      </c>
      <c r="S20" s="16"/>
      <c r="T20" s="16"/>
      <c r="U20" s="16"/>
      <c r="V20" s="16">
        <v>87.75</v>
      </c>
      <c r="W20" s="16"/>
      <c r="X20" s="16"/>
      <c r="Y20" s="16"/>
      <c r="Z20" s="16"/>
      <c r="AA20" s="16"/>
      <c r="AB20" s="16"/>
      <c r="AC20" s="16"/>
      <c r="AD20" s="24">
        <f>SUM(N20:AC20)/4</f>
        <v>68.0125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92.125</v>
      </c>
      <c r="O21" s="60"/>
      <c r="P21" s="60"/>
      <c r="Q21" s="60"/>
      <c r="R21" s="60">
        <f>SUM(R7:U13,R18)/8</f>
        <v>93.625</v>
      </c>
      <c r="S21" s="60"/>
      <c r="T21" s="60"/>
      <c r="U21" s="60"/>
      <c r="V21" s="60">
        <f>SUM(V7:Y13,V18)/8</f>
        <v>94.75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70.125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4</v>
      </c>
      <c r="S29" s="19"/>
      <c r="T29" s="19">
        <v>4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4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4</v>
      </c>
      <c r="S31" s="19"/>
      <c r="T31" s="19">
        <v>4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4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4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4</v>
      </c>
      <c r="S37" s="19"/>
      <c r="T37" s="19">
        <v>4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3.25</v>
      </c>
      <c r="S38" s="20"/>
      <c r="T38" s="20">
        <f>SUM(T26:U37)/12</f>
        <v>3.5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404147190071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82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92</v>
      </c>
      <c r="O7" s="16"/>
      <c r="P7" s="16"/>
      <c r="Q7" s="16"/>
      <c r="R7" s="16">
        <v>92</v>
      </c>
      <c r="S7" s="16"/>
      <c r="T7" s="16"/>
      <c r="U7" s="16"/>
      <c r="V7" s="16">
        <v>90</v>
      </c>
      <c r="W7" s="16"/>
      <c r="X7" s="16"/>
      <c r="Y7" s="16"/>
      <c r="Z7" s="16"/>
      <c r="AA7" s="16"/>
      <c r="AB7" s="16"/>
      <c r="AC7" s="16"/>
      <c r="AD7" s="24">
        <f>SUM(N7:AC7)/4</f>
        <v>68.5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94</v>
      </c>
      <c r="O8" s="16"/>
      <c r="P8" s="16"/>
      <c r="Q8" s="16"/>
      <c r="R8" s="16">
        <v>90</v>
      </c>
      <c r="S8" s="16"/>
      <c r="T8" s="16"/>
      <c r="U8" s="16"/>
      <c r="V8" s="16">
        <v>99</v>
      </c>
      <c r="W8" s="16"/>
      <c r="X8" s="16"/>
      <c r="Y8" s="16"/>
      <c r="Z8" s="16"/>
      <c r="AA8" s="16"/>
      <c r="AB8" s="16"/>
      <c r="AC8" s="16"/>
      <c r="AD8" s="24">
        <f>SUM(N8:AC8)/4</f>
        <v>70.75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95</v>
      </c>
      <c r="O9" s="16"/>
      <c r="P9" s="16"/>
      <c r="Q9" s="16"/>
      <c r="R9" s="16">
        <v>91</v>
      </c>
      <c r="S9" s="16"/>
      <c r="T9" s="16"/>
      <c r="U9" s="16"/>
      <c r="V9" s="16">
        <v>96</v>
      </c>
      <c r="W9" s="16"/>
      <c r="X9" s="16"/>
      <c r="Y9" s="16"/>
      <c r="Z9" s="16"/>
      <c r="AA9" s="16"/>
      <c r="AB9" s="16"/>
      <c r="AC9" s="16"/>
      <c r="AD9" s="24">
        <f>SUM(N9:AC9)/4</f>
        <v>70.5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91</v>
      </c>
      <c r="O10" s="16"/>
      <c r="P10" s="16"/>
      <c r="Q10" s="16"/>
      <c r="R10" s="16">
        <v>98</v>
      </c>
      <c r="S10" s="16"/>
      <c r="T10" s="16"/>
      <c r="U10" s="16"/>
      <c r="V10" s="16">
        <v>97</v>
      </c>
      <c r="W10" s="16"/>
      <c r="X10" s="16"/>
      <c r="Y10" s="16"/>
      <c r="Z10" s="16"/>
      <c r="AA10" s="16"/>
      <c r="AB10" s="16"/>
      <c r="AC10" s="16"/>
      <c r="AD10" s="24">
        <f>SUM(N10:AC10)/4</f>
        <v>71.5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94</v>
      </c>
      <c r="O11" s="16"/>
      <c r="P11" s="16"/>
      <c r="Q11" s="16"/>
      <c r="R11" s="16">
        <v>94</v>
      </c>
      <c r="S11" s="16"/>
      <c r="T11" s="16"/>
      <c r="U11" s="16"/>
      <c r="V11" s="16">
        <v>97</v>
      </c>
      <c r="W11" s="16"/>
      <c r="X11" s="16"/>
      <c r="Y11" s="16"/>
      <c r="Z11" s="16"/>
      <c r="AA11" s="16"/>
      <c r="AB11" s="16"/>
      <c r="AC11" s="16"/>
      <c r="AD11" s="24">
        <f>SUM(N11:AC11)/4</f>
        <v>71.25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96</v>
      </c>
      <c r="O12" s="16"/>
      <c r="P12" s="16"/>
      <c r="Q12" s="16"/>
      <c r="R12" s="16">
        <v>95</v>
      </c>
      <c r="S12" s="16"/>
      <c r="T12" s="16"/>
      <c r="U12" s="16"/>
      <c r="V12" s="16">
        <v>99</v>
      </c>
      <c r="W12" s="16"/>
      <c r="X12" s="16"/>
      <c r="Y12" s="16"/>
      <c r="Z12" s="16"/>
      <c r="AA12" s="16"/>
      <c r="AB12" s="16"/>
      <c r="AC12" s="16"/>
      <c r="AD12" s="24">
        <f>SUM(N12:AC12)/4</f>
        <v>72.5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96</v>
      </c>
      <c r="O13" s="16"/>
      <c r="P13" s="16"/>
      <c r="Q13" s="16"/>
      <c r="R13" s="16">
        <v>98</v>
      </c>
      <c r="S13" s="16"/>
      <c r="T13" s="16"/>
      <c r="U13" s="16"/>
      <c r="V13" s="16">
        <v>97</v>
      </c>
      <c r="W13" s="16"/>
      <c r="X13" s="16"/>
      <c r="Y13" s="16"/>
      <c r="Z13" s="16"/>
      <c r="AA13" s="16"/>
      <c r="AB13" s="16"/>
      <c r="AC13" s="16"/>
      <c r="AD13" s="24">
        <f>SUM(N13:AC13)/4</f>
        <v>72.75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96</v>
      </c>
      <c r="O14" s="16"/>
      <c r="P14" s="16"/>
      <c r="Q14" s="16"/>
      <c r="R14" s="16">
        <v>99</v>
      </c>
      <c r="S14" s="16"/>
      <c r="T14" s="16"/>
      <c r="U14" s="16"/>
      <c r="V14" s="16">
        <v>97</v>
      </c>
      <c r="W14" s="16"/>
      <c r="X14" s="16"/>
      <c r="Y14" s="16"/>
      <c r="Z14" s="16"/>
      <c r="AA14" s="16"/>
      <c r="AB14" s="16"/>
      <c r="AC14" s="16"/>
      <c r="AD14" s="24">
        <f>SUM(N14:AC14)/4</f>
        <v>73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91</v>
      </c>
      <c r="O15" s="16"/>
      <c r="P15" s="16"/>
      <c r="Q15" s="16"/>
      <c r="R15" s="16">
        <v>93</v>
      </c>
      <c r="S15" s="16"/>
      <c r="T15" s="16"/>
      <c r="U15" s="16"/>
      <c r="V15" s="16">
        <v>94</v>
      </c>
      <c r="W15" s="16"/>
      <c r="X15" s="16"/>
      <c r="Y15" s="16"/>
      <c r="Z15" s="16"/>
      <c r="AA15" s="16"/>
      <c r="AB15" s="16"/>
      <c r="AC15" s="16"/>
      <c r="AD15" s="24">
        <f>SUM(N15:AC15)/4</f>
        <v>69.5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98</v>
      </c>
      <c r="O16" s="16"/>
      <c r="P16" s="16"/>
      <c r="Q16" s="16"/>
      <c r="R16" s="16">
        <v>100</v>
      </c>
      <c r="S16" s="16"/>
      <c r="T16" s="16"/>
      <c r="U16" s="16"/>
      <c r="V16" s="16">
        <v>98</v>
      </c>
      <c r="W16" s="16"/>
      <c r="X16" s="16"/>
      <c r="Y16" s="16"/>
      <c r="Z16" s="16"/>
      <c r="AA16" s="16"/>
      <c r="AB16" s="16"/>
      <c r="AC16" s="16"/>
      <c r="AD16" s="24">
        <f>SUM(N16:AC16)/4</f>
        <v>74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100</v>
      </c>
      <c r="O17" s="16"/>
      <c r="P17" s="16"/>
      <c r="Q17" s="16"/>
      <c r="R17" s="16">
        <v>100</v>
      </c>
      <c r="S17" s="16"/>
      <c r="T17" s="16"/>
      <c r="U17" s="16"/>
      <c r="V17" s="16">
        <v>100</v>
      </c>
      <c r="W17" s="16"/>
      <c r="X17" s="16"/>
      <c r="Y17" s="16"/>
      <c r="Z17" s="16"/>
      <c r="AA17" s="16"/>
      <c r="AB17" s="16"/>
      <c r="AC17" s="16"/>
      <c r="AD17" s="24">
        <f>SUM(N17:AC17)/4</f>
        <v>75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98</v>
      </c>
      <c r="O18" s="22"/>
      <c r="P18" s="22"/>
      <c r="Q18" s="23"/>
      <c r="R18" s="21">
        <v>93</v>
      </c>
      <c r="S18" s="22"/>
      <c r="T18" s="22"/>
      <c r="U18" s="23"/>
      <c r="V18" s="21">
        <v>97</v>
      </c>
      <c r="W18" s="22"/>
      <c r="X18" s="22"/>
      <c r="Y18" s="23"/>
      <c r="Z18" s="21"/>
      <c r="AA18" s="22"/>
      <c r="AB18" s="22"/>
      <c r="AC18" s="23"/>
      <c r="AD18" s="24">
        <f>SUM(N18:AC18)/4</f>
        <v>72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91.15</v>
      </c>
      <c r="O20" s="16"/>
      <c r="P20" s="16"/>
      <c r="Q20" s="16"/>
      <c r="R20" s="16">
        <v>85.9</v>
      </c>
      <c r="S20" s="16"/>
      <c r="T20" s="16"/>
      <c r="U20" s="16"/>
      <c r="V20" s="16">
        <v>91.1</v>
      </c>
      <c r="W20" s="16"/>
      <c r="X20" s="16"/>
      <c r="Y20" s="16"/>
      <c r="Z20" s="16"/>
      <c r="AA20" s="16"/>
      <c r="AB20" s="16"/>
      <c r="AC20" s="16"/>
      <c r="AD20" s="24">
        <f>SUM(N20:AC20)/4</f>
        <v>67.0375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94.5</v>
      </c>
      <c r="O21" s="60"/>
      <c r="P21" s="60"/>
      <c r="Q21" s="60"/>
      <c r="R21" s="60">
        <f>SUM(R7:U13,R18)/8</f>
        <v>93.875</v>
      </c>
      <c r="S21" s="60"/>
      <c r="T21" s="60"/>
      <c r="U21" s="60"/>
      <c r="V21" s="60">
        <f>SUM(V7:Y13,V18)/8</f>
        <v>96.5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71.21875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4</v>
      </c>
      <c r="S26" s="19"/>
      <c r="T26" s="19">
        <v>4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1</v>
      </c>
      <c r="S28" s="19"/>
      <c r="T28" s="19">
        <v>2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1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1</v>
      </c>
      <c r="S37" s="19"/>
      <c r="T37" s="19">
        <v>2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2.5833333333333</v>
      </c>
      <c r="S38" s="20"/>
      <c r="T38" s="20">
        <f>SUM(T26:U37)/12</f>
        <v>2.9166666666667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441113190003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83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88</v>
      </c>
      <c r="O7" s="16"/>
      <c r="P7" s="16"/>
      <c r="Q7" s="16"/>
      <c r="R7" s="16">
        <v>89</v>
      </c>
      <c r="S7" s="16"/>
      <c r="T7" s="16"/>
      <c r="U7" s="16"/>
      <c r="V7" s="16">
        <v>88</v>
      </c>
      <c r="W7" s="16"/>
      <c r="X7" s="16"/>
      <c r="Y7" s="16"/>
      <c r="Z7" s="16"/>
      <c r="AA7" s="16"/>
      <c r="AB7" s="16"/>
      <c r="AC7" s="16"/>
      <c r="AD7" s="24">
        <f>SUM(N7:AC7)/4</f>
        <v>66.25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92</v>
      </c>
      <c r="O8" s="16"/>
      <c r="P8" s="16"/>
      <c r="Q8" s="16"/>
      <c r="R8" s="16">
        <v>91</v>
      </c>
      <c r="S8" s="16"/>
      <c r="T8" s="16"/>
      <c r="U8" s="16"/>
      <c r="V8" s="16">
        <v>95</v>
      </c>
      <c r="W8" s="16"/>
      <c r="X8" s="16"/>
      <c r="Y8" s="16"/>
      <c r="Z8" s="16"/>
      <c r="AA8" s="16"/>
      <c r="AB8" s="16"/>
      <c r="AC8" s="16"/>
      <c r="AD8" s="24">
        <f>SUM(N8:AC8)/4</f>
        <v>69.5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84</v>
      </c>
      <c r="O9" s="16"/>
      <c r="P9" s="16"/>
      <c r="Q9" s="16"/>
      <c r="R9" s="16">
        <v>88</v>
      </c>
      <c r="S9" s="16"/>
      <c r="T9" s="16"/>
      <c r="U9" s="16"/>
      <c r="V9" s="16">
        <v>93</v>
      </c>
      <c r="W9" s="16"/>
      <c r="X9" s="16"/>
      <c r="Y9" s="16"/>
      <c r="Z9" s="16"/>
      <c r="AA9" s="16"/>
      <c r="AB9" s="16"/>
      <c r="AC9" s="16"/>
      <c r="AD9" s="24">
        <f>SUM(N9:AC9)/4</f>
        <v>66.25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85</v>
      </c>
      <c r="O10" s="16"/>
      <c r="P10" s="16"/>
      <c r="Q10" s="16"/>
      <c r="R10" s="16">
        <v>95</v>
      </c>
      <c r="S10" s="16"/>
      <c r="T10" s="16"/>
      <c r="U10" s="16"/>
      <c r="V10" s="16">
        <v>94</v>
      </c>
      <c r="W10" s="16"/>
      <c r="X10" s="16"/>
      <c r="Y10" s="16"/>
      <c r="Z10" s="16"/>
      <c r="AA10" s="16"/>
      <c r="AB10" s="16"/>
      <c r="AC10" s="16"/>
      <c r="AD10" s="24">
        <f>SUM(N10:AC10)/4</f>
        <v>68.5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87</v>
      </c>
      <c r="O11" s="16"/>
      <c r="P11" s="16"/>
      <c r="Q11" s="16"/>
      <c r="R11" s="16">
        <v>91</v>
      </c>
      <c r="S11" s="16"/>
      <c r="T11" s="16"/>
      <c r="U11" s="16"/>
      <c r="V11" s="16">
        <v>93</v>
      </c>
      <c r="W11" s="16"/>
      <c r="X11" s="16"/>
      <c r="Y11" s="16"/>
      <c r="Z11" s="16"/>
      <c r="AA11" s="16"/>
      <c r="AB11" s="16"/>
      <c r="AC11" s="16"/>
      <c r="AD11" s="24">
        <f>SUM(N11:AC11)/4</f>
        <v>67.75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94</v>
      </c>
      <c r="O12" s="16"/>
      <c r="P12" s="16"/>
      <c r="Q12" s="16"/>
      <c r="R12" s="16">
        <v>95</v>
      </c>
      <c r="S12" s="16"/>
      <c r="T12" s="16"/>
      <c r="U12" s="16"/>
      <c r="V12" s="16">
        <v>97</v>
      </c>
      <c r="W12" s="16"/>
      <c r="X12" s="16"/>
      <c r="Y12" s="16"/>
      <c r="Z12" s="16"/>
      <c r="AA12" s="16"/>
      <c r="AB12" s="16"/>
      <c r="AC12" s="16"/>
      <c r="AD12" s="24">
        <f>SUM(N12:AC12)/4</f>
        <v>71.5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96</v>
      </c>
      <c r="O13" s="16"/>
      <c r="P13" s="16"/>
      <c r="Q13" s="16"/>
      <c r="R13" s="16">
        <v>97</v>
      </c>
      <c r="S13" s="16"/>
      <c r="T13" s="16"/>
      <c r="U13" s="16"/>
      <c r="V13" s="16">
        <v>97</v>
      </c>
      <c r="W13" s="16"/>
      <c r="X13" s="16"/>
      <c r="Y13" s="16"/>
      <c r="Z13" s="16"/>
      <c r="AA13" s="16"/>
      <c r="AB13" s="16"/>
      <c r="AC13" s="16"/>
      <c r="AD13" s="24">
        <f>SUM(N13:AC13)/4</f>
        <v>72.5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96</v>
      </c>
      <c r="O14" s="16"/>
      <c r="P14" s="16"/>
      <c r="Q14" s="16"/>
      <c r="R14" s="16">
        <v>94</v>
      </c>
      <c r="S14" s="16"/>
      <c r="T14" s="16"/>
      <c r="U14" s="16"/>
      <c r="V14" s="16">
        <v>92</v>
      </c>
      <c r="W14" s="16"/>
      <c r="X14" s="16"/>
      <c r="Y14" s="16"/>
      <c r="Z14" s="16"/>
      <c r="AA14" s="16"/>
      <c r="AB14" s="16"/>
      <c r="AC14" s="16"/>
      <c r="AD14" s="24">
        <f>SUM(N14:AC14)/4</f>
        <v>70.5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92</v>
      </c>
      <c r="O15" s="16"/>
      <c r="P15" s="16"/>
      <c r="Q15" s="16"/>
      <c r="R15" s="16">
        <v>96</v>
      </c>
      <c r="S15" s="16"/>
      <c r="T15" s="16"/>
      <c r="U15" s="16"/>
      <c r="V15" s="16">
        <v>97</v>
      </c>
      <c r="W15" s="16"/>
      <c r="X15" s="16"/>
      <c r="Y15" s="16"/>
      <c r="Z15" s="16"/>
      <c r="AA15" s="16"/>
      <c r="AB15" s="16"/>
      <c r="AC15" s="16"/>
      <c r="AD15" s="24">
        <f>SUM(N15:AC15)/4</f>
        <v>71.25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100</v>
      </c>
      <c r="S16" s="16"/>
      <c r="T16" s="16"/>
      <c r="U16" s="16"/>
      <c r="V16" s="16">
        <v>99</v>
      </c>
      <c r="W16" s="16"/>
      <c r="X16" s="16"/>
      <c r="Y16" s="16"/>
      <c r="Z16" s="16"/>
      <c r="AA16" s="16"/>
      <c r="AB16" s="16"/>
      <c r="AC16" s="16"/>
      <c r="AD16" s="24">
        <f>SUM(N16:AC16)/4</f>
        <v>74.5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98</v>
      </c>
      <c r="O17" s="16"/>
      <c r="P17" s="16"/>
      <c r="Q17" s="16"/>
      <c r="R17" s="16">
        <v>99</v>
      </c>
      <c r="S17" s="16"/>
      <c r="T17" s="16"/>
      <c r="U17" s="16"/>
      <c r="V17" s="16">
        <v>98</v>
      </c>
      <c r="W17" s="16"/>
      <c r="X17" s="16"/>
      <c r="Y17" s="16"/>
      <c r="Z17" s="16"/>
      <c r="AA17" s="16"/>
      <c r="AB17" s="16"/>
      <c r="AC17" s="16"/>
      <c r="AD17" s="24">
        <f>SUM(N17:AC17)/4</f>
        <v>73.75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93</v>
      </c>
      <c r="O18" s="22"/>
      <c r="P18" s="22"/>
      <c r="Q18" s="23"/>
      <c r="R18" s="21">
        <v>94</v>
      </c>
      <c r="S18" s="22"/>
      <c r="T18" s="22"/>
      <c r="U18" s="23"/>
      <c r="V18" s="21">
        <v>96</v>
      </c>
      <c r="W18" s="22"/>
      <c r="X18" s="22"/>
      <c r="Y18" s="23"/>
      <c r="Z18" s="21"/>
      <c r="AA18" s="22"/>
      <c r="AB18" s="22"/>
      <c r="AC18" s="23"/>
      <c r="AD18" s="24">
        <f>SUM(N18:AC18)/4</f>
        <v>70.75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94.3</v>
      </c>
      <c r="O20" s="16"/>
      <c r="P20" s="16"/>
      <c r="Q20" s="16"/>
      <c r="R20" s="16">
        <v>92.2</v>
      </c>
      <c r="S20" s="16"/>
      <c r="T20" s="16"/>
      <c r="U20" s="16"/>
      <c r="V20" s="16">
        <v>91.4</v>
      </c>
      <c r="W20" s="16"/>
      <c r="X20" s="16"/>
      <c r="Y20" s="16"/>
      <c r="Z20" s="16"/>
      <c r="AA20" s="16"/>
      <c r="AB20" s="16"/>
      <c r="AC20" s="16"/>
      <c r="AD20" s="24">
        <f>SUM(N20:AC20)/4</f>
        <v>69.475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89.875</v>
      </c>
      <c r="O21" s="60"/>
      <c r="P21" s="60"/>
      <c r="Q21" s="60"/>
      <c r="R21" s="60">
        <f>SUM(R7:U13,R18)/8</f>
        <v>92.5</v>
      </c>
      <c r="S21" s="60"/>
      <c r="T21" s="60"/>
      <c r="U21" s="60"/>
      <c r="V21" s="60">
        <f>SUM(V7:Y13,V18)/8</f>
        <v>94.125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69.125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4</v>
      </c>
      <c r="S29" s="19"/>
      <c r="T29" s="19">
        <v>4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4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3.0833333333333</v>
      </c>
      <c r="S38" s="20"/>
      <c r="T38" s="20">
        <f>SUM(T26:U37)/12</f>
        <v>3.1666666666667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441060190012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84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90</v>
      </c>
      <c r="O7" s="16"/>
      <c r="P7" s="16"/>
      <c r="Q7" s="16"/>
      <c r="R7" s="16">
        <v>96</v>
      </c>
      <c r="S7" s="16"/>
      <c r="T7" s="16"/>
      <c r="U7" s="16"/>
      <c r="V7" s="16">
        <v>95</v>
      </c>
      <c r="W7" s="16"/>
      <c r="X7" s="16"/>
      <c r="Y7" s="16"/>
      <c r="Z7" s="16"/>
      <c r="AA7" s="16"/>
      <c r="AB7" s="16"/>
      <c r="AC7" s="16"/>
      <c r="AD7" s="24">
        <f>SUM(N7:AC7)/4</f>
        <v>70.25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96</v>
      </c>
      <c r="O8" s="16"/>
      <c r="P8" s="16"/>
      <c r="Q8" s="16"/>
      <c r="R8" s="16">
        <v>93</v>
      </c>
      <c r="S8" s="16"/>
      <c r="T8" s="16"/>
      <c r="U8" s="16"/>
      <c r="V8" s="16">
        <v>99</v>
      </c>
      <c r="W8" s="16"/>
      <c r="X8" s="16"/>
      <c r="Y8" s="16"/>
      <c r="Z8" s="16"/>
      <c r="AA8" s="16"/>
      <c r="AB8" s="16"/>
      <c r="AC8" s="16"/>
      <c r="AD8" s="24">
        <f>SUM(N8:AC8)/4</f>
        <v>72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99</v>
      </c>
      <c r="O9" s="16"/>
      <c r="P9" s="16"/>
      <c r="Q9" s="16"/>
      <c r="R9" s="16">
        <v>98</v>
      </c>
      <c r="S9" s="16"/>
      <c r="T9" s="16"/>
      <c r="U9" s="16"/>
      <c r="V9" s="16">
        <v>98</v>
      </c>
      <c r="W9" s="16"/>
      <c r="X9" s="16"/>
      <c r="Y9" s="16"/>
      <c r="Z9" s="16"/>
      <c r="AA9" s="16"/>
      <c r="AB9" s="16"/>
      <c r="AC9" s="16"/>
      <c r="AD9" s="24">
        <f>SUM(N9:AC9)/4</f>
        <v>73.75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90</v>
      </c>
      <c r="O10" s="16"/>
      <c r="P10" s="16"/>
      <c r="Q10" s="16"/>
      <c r="R10" s="16">
        <v>98</v>
      </c>
      <c r="S10" s="16"/>
      <c r="T10" s="16"/>
      <c r="U10" s="16"/>
      <c r="V10" s="16">
        <v>97</v>
      </c>
      <c r="W10" s="16"/>
      <c r="X10" s="16"/>
      <c r="Y10" s="16"/>
      <c r="Z10" s="16"/>
      <c r="AA10" s="16"/>
      <c r="AB10" s="16"/>
      <c r="AC10" s="16"/>
      <c r="AD10" s="24">
        <f>SUM(N10:AC10)/4</f>
        <v>71.25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92</v>
      </c>
      <c r="O11" s="16"/>
      <c r="P11" s="16"/>
      <c r="Q11" s="16"/>
      <c r="R11" s="16">
        <v>96</v>
      </c>
      <c r="S11" s="16"/>
      <c r="T11" s="16"/>
      <c r="U11" s="16"/>
      <c r="V11" s="16">
        <v>96</v>
      </c>
      <c r="W11" s="16"/>
      <c r="X11" s="16"/>
      <c r="Y11" s="16"/>
      <c r="Z11" s="16"/>
      <c r="AA11" s="16"/>
      <c r="AB11" s="16"/>
      <c r="AC11" s="16"/>
      <c r="AD11" s="24">
        <f>SUM(N11:AC11)/4</f>
        <v>71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99</v>
      </c>
      <c r="O12" s="16"/>
      <c r="P12" s="16"/>
      <c r="Q12" s="16"/>
      <c r="R12" s="16">
        <v>98</v>
      </c>
      <c r="S12" s="16"/>
      <c r="T12" s="16"/>
      <c r="U12" s="16"/>
      <c r="V12" s="16">
        <v>99</v>
      </c>
      <c r="W12" s="16"/>
      <c r="X12" s="16"/>
      <c r="Y12" s="16"/>
      <c r="Z12" s="16"/>
      <c r="AA12" s="16"/>
      <c r="AB12" s="16"/>
      <c r="AC12" s="16"/>
      <c r="AD12" s="24">
        <f>SUM(N12:AC12)/4</f>
        <v>74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98</v>
      </c>
      <c r="O13" s="16"/>
      <c r="P13" s="16"/>
      <c r="Q13" s="16"/>
      <c r="R13" s="16">
        <v>99</v>
      </c>
      <c r="S13" s="16"/>
      <c r="T13" s="16"/>
      <c r="U13" s="16"/>
      <c r="V13" s="16">
        <v>98</v>
      </c>
      <c r="W13" s="16"/>
      <c r="X13" s="16"/>
      <c r="Y13" s="16"/>
      <c r="Z13" s="16"/>
      <c r="AA13" s="16"/>
      <c r="AB13" s="16"/>
      <c r="AC13" s="16"/>
      <c r="AD13" s="24">
        <f>SUM(N13:AC13)/4</f>
        <v>73.75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97</v>
      </c>
      <c r="O14" s="16"/>
      <c r="P14" s="16"/>
      <c r="Q14" s="16"/>
      <c r="R14" s="16">
        <v>100</v>
      </c>
      <c r="S14" s="16"/>
      <c r="T14" s="16"/>
      <c r="U14" s="16"/>
      <c r="V14" s="16">
        <v>96</v>
      </c>
      <c r="W14" s="16"/>
      <c r="X14" s="16"/>
      <c r="Y14" s="16"/>
      <c r="Z14" s="16"/>
      <c r="AA14" s="16"/>
      <c r="AB14" s="16"/>
      <c r="AC14" s="16"/>
      <c r="AD14" s="24">
        <f>SUM(N14:AC14)/4</f>
        <v>73.25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96</v>
      </c>
      <c r="O15" s="16"/>
      <c r="P15" s="16"/>
      <c r="Q15" s="16"/>
      <c r="R15" s="16">
        <v>98</v>
      </c>
      <c r="S15" s="16"/>
      <c r="T15" s="16"/>
      <c r="U15" s="16"/>
      <c r="V15" s="16">
        <v>97</v>
      </c>
      <c r="W15" s="16"/>
      <c r="X15" s="16"/>
      <c r="Y15" s="16"/>
      <c r="Z15" s="16"/>
      <c r="AA15" s="16"/>
      <c r="AB15" s="16"/>
      <c r="AC15" s="16"/>
      <c r="AD15" s="24">
        <f>SUM(N15:AC15)/4</f>
        <v>72.75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100</v>
      </c>
      <c r="S16" s="16"/>
      <c r="T16" s="16"/>
      <c r="U16" s="16"/>
      <c r="V16" s="16">
        <v>99</v>
      </c>
      <c r="W16" s="16"/>
      <c r="X16" s="16"/>
      <c r="Y16" s="16"/>
      <c r="Z16" s="16"/>
      <c r="AA16" s="16"/>
      <c r="AB16" s="16"/>
      <c r="AC16" s="16"/>
      <c r="AD16" s="24">
        <f>SUM(N16:AC16)/4</f>
        <v>74.5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98</v>
      </c>
      <c r="O17" s="16"/>
      <c r="P17" s="16"/>
      <c r="Q17" s="16"/>
      <c r="R17" s="16">
        <v>99</v>
      </c>
      <c r="S17" s="16"/>
      <c r="T17" s="16"/>
      <c r="U17" s="16"/>
      <c r="V17" s="16">
        <v>100</v>
      </c>
      <c r="W17" s="16"/>
      <c r="X17" s="16"/>
      <c r="Y17" s="16"/>
      <c r="Z17" s="16"/>
      <c r="AA17" s="16"/>
      <c r="AB17" s="16"/>
      <c r="AC17" s="16"/>
      <c r="AD17" s="24">
        <f>SUM(N17:AC17)/4</f>
        <v>74.25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99</v>
      </c>
      <c r="O18" s="22"/>
      <c r="P18" s="22"/>
      <c r="Q18" s="23"/>
      <c r="R18" s="21">
        <v>98</v>
      </c>
      <c r="S18" s="22"/>
      <c r="T18" s="22"/>
      <c r="U18" s="23"/>
      <c r="V18" s="21">
        <v>96</v>
      </c>
      <c r="W18" s="22"/>
      <c r="X18" s="22"/>
      <c r="Y18" s="23"/>
      <c r="Z18" s="21"/>
      <c r="AA18" s="22"/>
      <c r="AB18" s="22"/>
      <c r="AC18" s="23"/>
      <c r="AD18" s="24">
        <f>SUM(N18:AC18)/4</f>
        <v>73.25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97.6</v>
      </c>
      <c r="O20" s="16"/>
      <c r="P20" s="16"/>
      <c r="Q20" s="16"/>
      <c r="R20" s="16">
        <v>96.4</v>
      </c>
      <c r="S20" s="16"/>
      <c r="T20" s="16"/>
      <c r="U20" s="16"/>
      <c r="V20" s="16">
        <v>97.7</v>
      </c>
      <c r="W20" s="16"/>
      <c r="X20" s="16"/>
      <c r="Y20" s="16"/>
      <c r="Z20" s="16"/>
      <c r="AA20" s="16"/>
      <c r="AB20" s="16"/>
      <c r="AC20" s="16"/>
      <c r="AD20" s="24">
        <f>SUM(N20:AC20)/4</f>
        <v>72.925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95.375</v>
      </c>
      <c r="O21" s="60"/>
      <c r="P21" s="60"/>
      <c r="Q21" s="60"/>
      <c r="R21" s="60">
        <f>SUM(R7:U13,R18)/8</f>
        <v>97</v>
      </c>
      <c r="S21" s="60"/>
      <c r="T21" s="60"/>
      <c r="U21" s="60"/>
      <c r="V21" s="60">
        <f>SUM(V7:Y13,V18)/8</f>
        <v>97.25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72.40625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4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4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4</v>
      </c>
      <c r="S33" s="19"/>
      <c r="T33" s="19">
        <v>4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4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4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4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3.25</v>
      </c>
      <c r="S38" s="20"/>
      <c r="T38" s="20">
        <f>SUM(T26:U37)/12</f>
        <v>3.3333333333333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441078190002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85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83</v>
      </c>
      <c r="O7" s="16"/>
      <c r="P7" s="16"/>
      <c r="Q7" s="16"/>
      <c r="R7" s="16">
        <v>84</v>
      </c>
      <c r="S7" s="16"/>
      <c r="T7" s="16"/>
      <c r="U7" s="16"/>
      <c r="V7" s="16">
        <v>81</v>
      </c>
      <c r="W7" s="16"/>
      <c r="X7" s="16"/>
      <c r="Y7" s="16"/>
      <c r="Z7" s="16"/>
      <c r="AA7" s="16"/>
      <c r="AB7" s="16"/>
      <c r="AC7" s="16"/>
      <c r="AD7" s="24">
        <f>SUM(N7:AC7)/4</f>
        <v>62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87</v>
      </c>
      <c r="O8" s="16"/>
      <c r="P8" s="16"/>
      <c r="Q8" s="16"/>
      <c r="R8" s="16">
        <v>86</v>
      </c>
      <c r="S8" s="16"/>
      <c r="T8" s="16"/>
      <c r="U8" s="16"/>
      <c r="V8" s="16">
        <v>89</v>
      </c>
      <c r="W8" s="16"/>
      <c r="X8" s="16"/>
      <c r="Y8" s="16"/>
      <c r="Z8" s="16"/>
      <c r="AA8" s="16"/>
      <c r="AB8" s="16"/>
      <c r="AC8" s="16"/>
      <c r="AD8" s="24">
        <f>SUM(N8:AC8)/4</f>
        <v>65.5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90</v>
      </c>
      <c r="O9" s="16"/>
      <c r="P9" s="16"/>
      <c r="Q9" s="16"/>
      <c r="R9" s="16">
        <v>89</v>
      </c>
      <c r="S9" s="16"/>
      <c r="T9" s="16"/>
      <c r="U9" s="16"/>
      <c r="V9" s="16">
        <v>88</v>
      </c>
      <c r="W9" s="16"/>
      <c r="X9" s="16"/>
      <c r="Y9" s="16"/>
      <c r="Z9" s="16"/>
      <c r="AA9" s="16"/>
      <c r="AB9" s="16"/>
      <c r="AC9" s="16"/>
      <c r="AD9" s="24">
        <f>SUM(N9:AC9)/4</f>
        <v>66.75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82</v>
      </c>
      <c r="O10" s="16"/>
      <c r="P10" s="16"/>
      <c r="Q10" s="16"/>
      <c r="R10" s="16">
        <v>89</v>
      </c>
      <c r="S10" s="16"/>
      <c r="T10" s="16"/>
      <c r="U10" s="16"/>
      <c r="V10" s="16">
        <v>91</v>
      </c>
      <c r="W10" s="16"/>
      <c r="X10" s="16"/>
      <c r="Y10" s="16"/>
      <c r="Z10" s="16"/>
      <c r="AA10" s="16"/>
      <c r="AB10" s="16"/>
      <c r="AC10" s="16"/>
      <c r="AD10" s="24">
        <f>SUM(N10:AC10)/4</f>
        <v>65.5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81</v>
      </c>
      <c r="O11" s="16"/>
      <c r="P11" s="16"/>
      <c r="Q11" s="16"/>
      <c r="R11" s="16">
        <v>84</v>
      </c>
      <c r="S11" s="16"/>
      <c r="T11" s="16"/>
      <c r="U11" s="16"/>
      <c r="V11" s="16">
        <v>83</v>
      </c>
      <c r="W11" s="16"/>
      <c r="X11" s="16"/>
      <c r="Y11" s="16"/>
      <c r="Z11" s="16"/>
      <c r="AA11" s="16"/>
      <c r="AB11" s="16"/>
      <c r="AC11" s="16"/>
      <c r="AD11" s="24">
        <f>SUM(N11:AC11)/4</f>
        <v>62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95</v>
      </c>
      <c r="O12" s="16"/>
      <c r="P12" s="16"/>
      <c r="Q12" s="16"/>
      <c r="R12" s="16">
        <v>91</v>
      </c>
      <c r="S12" s="16"/>
      <c r="T12" s="16"/>
      <c r="U12" s="16"/>
      <c r="V12" s="16">
        <v>92</v>
      </c>
      <c r="W12" s="16"/>
      <c r="X12" s="16"/>
      <c r="Y12" s="16"/>
      <c r="Z12" s="16"/>
      <c r="AA12" s="16"/>
      <c r="AB12" s="16"/>
      <c r="AC12" s="16"/>
      <c r="AD12" s="24">
        <f>SUM(N12:AC12)/4</f>
        <v>69.5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95</v>
      </c>
      <c r="O13" s="16"/>
      <c r="P13" s="16"/>
      <c r="Q13" s="16"/>
      <c r="R13" s="16">
        <v>93</v>
      </c>
      <c r="S13" s="16"/>
      <c r="T13" s="16"/>
      <c r="U13" s="16"/>
      <c r="V13" s="16">
        <v>93</v>
      </c>
      <c r="W13" s="16"/>
      <c r="X13" s="16"/>
      <c r="Y13" s="16"/>
      <c r="Z13" s="16"/>
      <c r="AA13" s="16"/>
      <c r="AB13" s="16"/>
      <c r="AC13" s="16"/>
      <c r="AD13" s="24">
        <f>SUM(N13:AC13)/4</f>
        <v>70.25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96</v>
      </c>
      <c r="O14" s="16"/>
      <c r="P14" s="16"/>
      <c r="Q14" s="16"/>
      <c r="R14" s="16">
        <v>90</v>
      </c>
      <c r="S14" s="16"/>
      <c r="T14" s="16"/>
      <c r="U14" s="16"/>
      <c r="V14" s="16">
        <v>88</v>
      </c>
      <c r="W14" s="16"/>
      <c r="X14" s="16"/>
      <c r="Y14" s="16"/>
      <c r="Z14" s="16"/>
      <c r="AA14" s="16"/>
      <c r="AB14" s="16"/>
      <c r="AC14" s="16"/>
      <c r="AD14" s="24">
        <f>SUM(N14:AC14)/4</f>
        <v>68.5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91</v>
      </c>
      <c r="O15" s="16"/>
      <c r="P15" s="16"/>
      <c r="Q15" s="16"/>
      <c r="R15" s="16">
        <v>89</v>
      </c>
      <c r="S15" s="16"/>
      <c r="T15" s="16"/>
      <c r="U15" s="16"/>
      <c r="V15" s="16">
        <v>91</v>
      </c>
      <c r="W15" s="16"/>
      <c r="X15" s="16"/>
      <c r="Y15" s="16"/>
      <c r="Z15" s="16"/>
      <c r="AA15" s="16"/>
      <c r="AB15" s="16"/>
      <c r="AC15" s="16"/>
      <c r="AD15" s="24">
        <f>SUM(N15:AC15)/4</f>
        <v>67.75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100</v>
      </c>
      <c r="S16" s="16"/>
      <c r="T16" s="16"/>
      <c r="U16" s="16"/>
      <c r="V16" s="16">
        <v>98</v>
      </c>
      <c r="W16" s="16"/>
      <c r="X16" s="16"/>
      <c r="Y16" s="16"/>
      <c r="Z16" s="16"/>
      <c r="AA16" s="16"/>
      <c r="AB16" s="16"/>
      <c r="AC16" s="16"/>
      <c r="AD16" s="24">
        <f>SUM(N16:AC16)/4</f>
        <v>74.25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95</v>
      </c>
      <c r="O17" s="16"/>
      <c r="P17" s="16"/>
      <c r="Q17" s="16"/>
      <c r="R17" s="16">
        <v>94</v>
      </c>
      <c r="S17" s="16"/>
      <c r="T17" s="16"/>
      <c r="U17" s="16"/>
      <c r="V17" s="16">
        <v>96</v>
      </c>
      <c r="W17" s="16"/>
      <c r="X17" s="16"/>
      <c r="Y17" s="16"/>
      <c r="Z17" s="16"/>
      <c r="AA17" s="16"/>
      <c r="AB17" s="16"/>
      <c r="AC17" s="16"/>
      <c r="AD17" s="24">
        <f>SUM(N17:AC17)/4</f>
        <v>71.25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91</v>
      </c>
      <c r="O18" s="22"/>
      <c r="P18" s="22"/>
      <c r="Q18" s="23"/>
      <c r="R18" s="21">
        <v>84</v>
      </c>
      <c r="S18" s="22"/>
      <c r="T18" s="22"/>
      <c r="U18" s="23"/>
      <c r="V18" s="21">
        <v>91</v>
      </c>
      <c r="W18" s="22"/>
      <c r="X18" s="22"/>
      <c r="Y18" s="23"/>
      <c r="Z18" s="21"/>
      <c r="AA18" s="22"/>
      <c r="AB18" s="22"/>
      <c r="AC18" s="23"/>
      <c r="AD18" s="24">
        <f>SUM(N18:AC18)/4</f>
        <v>66.5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84.1</v>
      </c>
      <c r="O20" s="16"/>
      <c r="P20" s="16"/>
      <c r="Q20" s="16"/>
      <c r="R20" s="16">
        <v>78.4</v>
      </c>
      <c r="S20" s="16"/>
      <c r="T20" s="16"/>
      <c r="U20" s="16"/>
      <c r="V20" s="16">
        <v>76.85</v>
      </c>
      <c r="W20" s="16"/>
      <c r="X20" s="16"/>
      <c r="Y20" s="16"/>
      <c r="Z20" s="16"/>
      <c r="AA20" s="16"/>
      <c r="AB20" s="16"/>
      <c r="AC20" s="16"/>
      <c r="AD20" s="24">
        <f>SUM(N20:AC20)/4</f>
        <v>59.8375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88</v>
      </c>
      <c r="O21" s="60"/>
      <c r="P21" s="60"/>
      <c r="Q21" s="60"/>
      <c r="R21" s="60">
        <f>SUM(R7:U13,R18)/8</f>
        <v>87.5</v>
      </c>
      <c r="S21" s="60"/>
      <c r="T21" s="60"/>
      <c r="U21" s="60"/>
      <c r="V21" s="60">
        <f>SUM(V7:Y13,V18)/8</f>
        <v>88.5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66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2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2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2.8333333333333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404147190055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86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96</v>
      </c>
      <c r="O7" s="16"/>
      <c r="P7" s="16"/>
      <c r="Q7" s="16"/>
      <c r="R7" s="16">
        <v>96</v>
      </c>
      <c r="S7" s="16"/>
      <c r="T7" s="16"/>
      <c r="U7" s="16"/>
      <c r="V7" s="16">
        <v>92</v>
      </c>
      <c r="W7" s="16"/>
      <c r="X7" s="16"/>
      <c r="Y7" s="16"/>
      <c r="Z7" s="16"/>
      <c r="AA7" s="16"/>
      <c r="AB7" s="16"/>
      <c r="AC7" s="16"/>
      <c r="AD7" s="24">
        <f>SUM(N7:AC7)/4</f>
        <v>71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94</v>
      </c>
      <c r="O8" s="16"/>
      <c r="P8" s="16"/>
      <c r="Q8" s="16"/>
      <c r="R8" s="16">
        <v>90</v>
      </c>
      <c r="S8" s="16"/>
      <c r="T8" s="16"/>
      <c r="U8" s="16"/>
      <c r="V8" s="16">
        <v>95</v>
      </c>
      <c r="W8" s="16"/>
      <c r="X8" s="16"/>
      <c r="Y8" s="16"/>
      <c r="Z8" s="16"/>
      <c r="AA8" s="16"/>
      <c r="AB8" s="16"/>
      <c r="AC8" s="16"/>
      <c r="AD8" s="24">
        <f>SUM(N8:AC8)/4</f>
        <v>69.75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89</v>
      </c>
      <c r="O9" s="16"/>
      <c r="P9" s="16"/>
      <c r="Q9" s="16"/>
      <c r="R9" s="16">
        <v>88</v>
      </c>
      <c r="S9" s="16"/>
      <c r="T9" s="16"/>
      <c r="U9" s="16"/>
      <c r="V9" s="16">
        <v>90</v>
      </c>
      <c r="W9" s="16"/>
      <c r="X9" s="16"/>
      <c r="Y9" s="16"/>
      <c r="Z9" s="16"/>
      <c r="AA9" s="16"/>
      <c r="AB9" s="16"/>
      <c r="AC9" s="16"/>
      <c r="AD9" s="24">
        <f>SUM(N9:AC9)/4</f>
        <v>66.75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91</v>
      </c>
      <c r="O10" s="16"/>
      <c r="P10" s="16"/>
      <c r="Q10" s="16"/>
      <c r="R10" s="16">
        <v>97</v>
      </c>
      <c r="S10" s="16"/>
      <c r="T10" s="16"/>
      <c r="U10" s="16"/>
      <c r="V10" s="16">
        <v>91</v>
      </c>
      <c r="W10" s="16"/>
      <c r="X10" s="16"/>
      <c r="Y10" s="16"/>
      <c r="Z10" s="16"/>
      <c r="AA10" s="16"/>
      <c r="AB10" s="16"/>
      <c r="AC10" s="16"/>
      <c r="AD10" s="24">
        <f>SUM(N10:AC10)/4</f>
        <v>69.75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88</v>
      </c>
      <c r="O11" s="16"/>
      <c r="P11" s="16"/>
      <c r="Q11" s="16"/>
      <c r="R11" s="16">
        <v>90</v>
      </c>
      <c r="S11" s="16"/>
      <c r="T11" s="16"/>
      <c r="U11" s="16"/>
      <c r="V11" s="16">
        <v>88</v>
      </c>
      <c r="W11" s="16"/>
      <c r="X11" s="16"/>
      <c r="Y11" s="16"/>
      <c r="Z11" s="16"/>
      <c r="AA11" s="16"/>
      <c r="AB11" s="16"/>
      <c r="AC11" s="16"/>
      <c r="AD11" s="24">
        <f>SUM(N11:AC11)/4</f>
        <v>66.5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95</v>
      </c>
      <c r="O12" s="16"/>
      <c r="P12" s="16"/>
      <c r="Q12" s="16"/>
      <c r="R12" s="16">
        <v>93</v>
      </c>
      <c r="S12" s="16"/>
      <c r="T12" s="16"/>
      <c r="U12" s="16"/>
      <c r="V12" s="16">
        <v>96</v>
      </c>
      <c r="W12" s="16"/>
      <c r="X12" s="16"/>
      <c r="Y12" s="16"/>
      <c r="Z12" s="16"/>
      <c r="AA12" s="16"/>
      <c r="AB12" s="16"/>
      <c r="AC12" s="16"/>
      <c r="AD12" s="24">
        <f>SUM(N12:AC12)/4</f>
        <v>71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95</v>
      </c>
      <c r="O13" s="16"/>
      <c r="P13" s="16"/>
      <c r="Q13" s="16"/>
      <c r="R13" s="16">
        <v>94</v>
      </c>
      <c r="S13" s="16"/>
      <c r="T13" s="16"/>
      <c r="U13" s="16"/>
      <c r="V13" s="16">
        <v>95</v>
      </c>
      <c r="W13" s="16"/>
      <c r="X13" s="16"/>
      <c r="Y13" s="16"/>
      <c r="Z13" s="16"/>
      <c r="AA13" s="16"/>
      <c r="AB13" s="16"/>
      <c r="AC13" s="16"/>
      <c r="AD13" s="24">
        <f>SUM(N13:AC13)/4</f>
        <v>71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94</v>
      </c>
      <c r="O14" s="16"/>
      <c r="P14" s="16"/>
      <c r="Q14" s="16"/>
      <c r="R14" s="16">
        <v>90</v>
      </c>
      <c r="S14" s="16"/>
      <c r="T14" s="16"/>
      <c r="U14" s="16"/>
      <c r="V14" s="16">
        <v>94</v>
      </c>
      <c r="W14" s="16"/>
      <c r="X14" s="16"/>
      <c r="Y14" s="16"/>
      <c r="Z14" s="16"/>
      <c r="AA14" s="16"/>
      <c r="AB14" s="16"/>
      <c r="AC14" s="16"/>
      <c r="AD14" s="24">
        <f>SUM(N14:AC14)/4</f>
        <v>69.5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92</v>
      </c>
      <c r="O15" s="16"/>
      <c r="P15" s="16"/>
      <c r="Q15" s="16"/>
      <c r="R15" s="16">
        <v>92</v>
      </c>
      <c r="S15" s="16"/>
      <c r="T15" s="16"/>
      <c r="U15" s="16"/>
      <c r="V15" s="16">
        <v>91</v>
      </c>
      <c r="W15" s="16"/>
      <c r="X15" s="16"/>
      <c r="Y15" s="16"/>
      <c r="Z15" s="16"/>
      <c r="AA15" s="16"/>
      <c r="AB15" s="16"/>
      <c r="AC15" s="16"/>
      <c r="AD15" s="24">
        <f>SUM(N15:AC15)/4</f>
        <v>68.75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97</v>
      </c>
      <c r="O16" s="16"/>
      <c r="P16" s="16"/>
      <c r="Q16" s="16"/>
      <c r="R16" s="16">
        <v>97</v>
      </c>
      <c r="S16" s="16"/>
      <c r="T16" s="16"/>
      <c r="U16" s="16"/>
      <c r="V16" s="16">
        <v>97</v>
      </c>
      <c r="W16" s="16"/>
      <c r="X16" s="16"/>
      <c r="Y16" s="16"/>
      <c r="Z16" s="16"/>
      <c r="AA16" s="16"/>
      <c r="AB16" s="16"/>
      <c r="AC16" s="16"/>
      <c r="AD16" s="24">
        <f>SUM(N16:AC16)/4</f>
        <v>72.75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98</v>
      </c>
      <c r="O17" s="16"/>
      <c r="P17" s="16"/>
      <c r="Q17" s="16"/>
      <c r="R17" s="16">
        <v>98</v>
      </c>
      <c r="S17" s="16"/>
      <c r="T17" s="16"/>
      <c r="U17" s="16"/>
      <c r="V17" s="16">
        <v>96</v>
      </c>
      <c r="W17" s="16"/>
      <c r="X17" s="16"/>
      <c r="Y17" s="16"/>
      <c r="Z17" s="16"/>
      <c r="AA17" s="16"/>
      <c r="AB17" s="16"/>
      <c r="AC17" s="16"/>
      <c r="AD17" s="24">
        <f>SUM(N17:AC17)/4</f>
        <v>73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91</v>
      </c>
      <c r="O18" s="22"/>
      <c r="P18" s="22"/>
      <c r="Q18" s="23"/>
      <c r="R18" s="21">
        <v>92</v>
      </c>
      <c r="S18" s="22"/>
      <c r="T18" s="22"/>
      <c r="U18" s="23"/>
      <c r="V18" s="21">
        <v>93</v>
      </c>
      <c r="W18" s="22"/>
      <c r="X18" s="22"/>
      <c r="Y18" s="23"/>
      <c r="Z18" s="21"/>
      <c r="AA18" s="22"/>
      <c r="AB18" s="22"/>
      <c r="AC18" s="23"/>
      <c r="AD18" s="24">
        <f>SUM(N18:AC18)/4</f>
        <v>69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92.25</v>
      </c>
      <c r="O20" s="16"/>
      <c r="P20" s="16"/>
      <c r="Q20" s="16"/>
      <c r="R20" s="16">
        <v>94.1</v>
      </c>
      <c r="S20" s="16"/>
      <c r="T20" s="16"/>
      <c r="U20" s="16"/>
      <c r="V20" s="16">
        <v>91.25</v>
      </c>
      <c r="W20" s="16"/>
      <c r="X20" s="16"/>
      <c r="Y20" s="16"/>
      <c r="Z20" s="16"/>
      <c r="AA20" s="16"/>
      <c r="AB20" s="16"/>
      <c r="AC20" s="16"/>
      <c r="AD20" s="24">
        <f>SUM(N20:AC20)/4</f>
        <v>69.4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92.375</v>
      </c>
      <c r="O21" s="60"/>
      <c r="P21" s="60"/>
      <c r="Q21" s="60"/>
      <c r="R21" s="60">
        <f>SUM(R7:U13,R18)/8</f>
        <v>92.5</v>
      </c>
      <c r="S21" s="60"/>
      <c r="T21" s="60"/>
      <c r="U21" s="60"/>
      <c r="V21" s="60">
        <f>SUM(V7:Y13,V18)/8</f>
        <v>92.5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69.34375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4</v>
      </c>
      <c r="S26" s="19"/>
      <c r="T26" s="19">
        <v>4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2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2</v>
      </c>
      <c r="S33" s="19"/>
      <c r="T33" s="19">
        <v>2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2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2.9166666666667</v>
      </c>
      <c r="S38" s="20"/>
      <c r="T38" s="20">
        <f>SUM(T26:U37)/12</f>
        <v>2.9166666666667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404147190010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87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96</v>
      </c>
      <c r="O7" s="16"/>
      <c r="P7" s="16"/>
      <c r="Q7" s="16"/>
      <c r="R7" s="16">
        <v>95</v>
      </c>
      <c r="S7" s="16"/>
      <c r="T7" s="16"/>
      <c r="U7" s="16"/>
      <c r="V7" s="16">
        <v>94</v>
      </c>
      <c r="W7" s="16"/>
      <c r="X7" s="16"/>
      <c r="Y7" s="16"/>
      <c r="Z7" s="16"/>
      <c r="AA7" s="16"/>
      <c r="AB7" s="16"/>
      <c r="AC7" s="16"/>
      <c r="AD7" s="24">
        <f>SUM(N7:AC7)/4</f>
        <v>71.25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91</v>
      </c>
      <c r="O8" s="16"/>
      <c r="P8" s="16"/>
      <c r="Q8" s="16"/>
      <c r="R8" s="16">
        <v>87</v>
      </c>
      <c r="S8" s="16"/>
      <c r="T8" s="16"/>
      <c r="U8" s="16"/>
      <c r="V8" s="16">
        <v>92</v>
      </c>
      <c r="W8" s="16"/>
      <c r="X8" s="16"/>
      <c r="Y8" s="16"/>
      <c r="Z8" s="16"/>
      <c r="AA8" s="16"/>
      <c r="AB8" s="16"/>
      <c r="AC8" s="16"/>
      <c r="AD8" s="24">
        <f>SUM(N8:AC8)/4</f>
        <v>67.5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87</v>
      </c>
      <c r="O9" s="16"/>
      <c r="P9" s="16"/>
      <c r="Q9" s="16"/>
      <c r="R9" s="16">
        <v>85</v>
      </c>
      <c r="S9" s="16"/>
      <c r="T9" s="16"/>
      <c r="U9" s="16"/>
      <c r="V9" s="16">
        <v>83</v>
      </c>
      <c r="W9" s="16"/>
      <c r="X9" s="16"/>
      <c r="Y9" s="16"/>
      <c r="Z9" s="16"/>
      <c r="AA9" s="16"/>
      <c r="AB9" s="16"/>
      <c r="AC9" s="16"/>
      <c r="AD9" s="24">
        <f>SUM(N9:AC9)/4</f>
        <v>63.75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81</v>
      </c>
      <c r="O10" s="16"/>
      <c r="P10" s="16"/>
      <c r="Q10" s="16"/>
      <c r="R10" s="16">
        <v>92</v>
      </c>
      <c r="S10" s="16"/>
      <c r="T10" s="16"/>
      <c r="U10" s="16"/>
      <c r="V10" s="16">
        <v>90</v>
      </c>
      <c r="W10" s="16"/>
      <c r="X10" s="16"/>
      <c r="Y10" s="16"/>
      <c r="Z10" s="16"/>
      <c r="AA10" s="16"/>
      <c r="AB10" s="16"/>
      <c r="AC10" s="16"/>
      <c r="AD10" s="24">
        <f>SUM(N10:AC10)/4</f>
        <v>65.75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87</v>
      </c>
      <c r="O11" s="16"/>
      <c r="P11" s="16"/>
      <c r="Q11" s="16"/>
      <c r="R11" s="16">
        <v>94</v>
      </c>
      <c r="S11" s="16"/>
      <c r="T11" s="16"/>
      <c r="U11" s="16"/>
      <c r="V11" s="16">
        <v>89</v>
      </c>
      <c r="W11" s="16"/>
      <c r="X11" s="16"/>
      <c r="Y11" s="16"/>
      <c r="Z11" s="16"/>
      <c r="AA11" s="16"/>
      <c r="AB11" s="16"/>
      <c r="AC11" s="16"/>
      <c r="AD11" s="24">
        <f>SUM(N11:AC11)/4</f>
        <v>67.5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98</v>
      </c>
      <c r="O12" s="16"/>
      <c r="P12" s="16"/>
      <c r="Q12" s="16"/>
      <c r="R12" s="16">
        <v>93</v>
      </c>
      <c r="S12" s="16"/>
      <c r="T12" s="16"/>
      <c r="U12" s="16"/>
      <c r="V12" s="16">
        <v>95</v>
      </c>
      <c r="W12" s="16"/>
      <c r="X12" s="16"/>
      <c r="Y12" s="16"/>
      <c r="Z12" s="16"/>
      <c r="AA12" s="16"/>
      <c r="AB12" s="16"/>
      <c r="AC12" s="16"/>
      <c r="AD12" s="24">
        <f>SUM(N12:AC12)/4</f>
        <v>71.5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96</v>
      </c>
      <c r="O13" s="16"/>
      <c r="P13" s="16"/>
      <c r="Q13" s="16"/>
      <c r="R13" s="16">
        <v>97</v>
      </c>
      <c r="S13" s="16"/>
      <c r="T13" s="16"/>
      <c r="U13" s="16"/>
      <c r="V13" s="16">
        <v>97</v>
      </c>
      <c r="W13" s="16"/>
      <c r="X13" s="16"/>
      <c r="Y13" s="16"/>
      <c r="Z13" s="16"/>
      <c r="AA13" s="16"/>
      <c r="AB13" s="16"/>
      <c r="AC13" s="16"/>
      <c r="AD13" s="24">
        <f>SUM(N13:AC13)/4</f>
        <v>72.5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96</v>
      </c>
      <c r="O14" s="16"/>
      <c r="P14" s="16"/>
      <c r="Q14" s="16"/>
      <c r="R14" s="16">
        <v>96</v>
      </c>
      <c r="S14" s="16"/>
      <c r="T14" s="16"/>
      <c r="U14" s="16"/>
      <c r="V14" s="16">
        <v>92</v>
      </c>
      <c r="W14" s="16"/>
      <c r="X14" s="16"/>
      <c r="Y14" s="16"/>
      <c r="Z14" s="16"/>
      <c r="AA14" s="16"/>
      <c r="AB14" s="16"/>
      <c r="AC14" s="16"/>
      <c r="AD14" s="24">
        <f>SUM(N14:AC14)/4</f>
        <v>71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95</v>
      </c>
      <c r="O15" s="16"/>
      <c r="P15" s="16"/>
      <c r="Q15" s="16"/>
      <c r="R15" s="16">
        <v>95</v>
      </c>
      <c r="S15" s="16"/>
      <c r="T15" s="16"/>
      <c r="U15" s="16"/>
      <c r="V15" s="16">
        <v>97</v>
      </c>
      <c r="W15" s="16"/>
      <c r="X15" s="16"/>
      <c r="Y15" s="16"/>
      <c r="Z15" s="16"/>
      <c r="AA15" s="16"/>
      <c r="AB15" s="16"/>
      <c r="AC15" s="16"/>
      <c r="AD15" s="24">
        <f>SUM(N15:AC15)/4</f>
        <v>71.75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99</v>
      </c>
      <c r="S16" s="16"/>
      <c r="T16" s="16"/>
      <c r="U16" s="16"/>
      <c r="V16" s="16">
        <v>99</v>
      </c>
      <c r="W16" s="16"/>
      <c r="X16" s="16"/>
      <c r="Y16" s="16"/>
      <c r="Z16" s="16"/>
      <c r="AA16" s="16"/>
      <c r="AB16" s="16"/>
      <c r="AC16" s="16"/>
      <c r="AD16" s="24">
        <f>SUM(N16:AC16)/4</f>
        <v>74.25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95</v>
      </c>
      <c r="O17" s="16"/>
      <c r="P17" s="16"/>
      <c r="Q17" s="16"/>
      <c r="R17" s="16">
        <v>99</v>
      </c>
      <c r="S17" s="16"/>
      <c r="T17" s="16"/>
      <c r="U17" s="16"/>
      <c r="V17" s="16">
        <v>98</v>
      </c>
      <c r="W17" s="16"/>
      <c r="X17" s="16"/>
      <c r="Y17" s="16"/>
      <c r="Z17" s="16"/>
      <c r="AA17" s="16"/>
      <c r="AB17" s="16"/>
      <c r="AC17" s="16"/>
      <c r="AD17" s="24">
        <f>SUM(N17:AC17)/4</f>
        <v>73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96</v>
      </c>
      <c r="O18" s="22"/>
      <c r="P18" s="22"/>
      <c r="Q18" s="23"/>
      <c r="R18" s="21">
        <v>95</v>
      </c>
      <c r="S18" s="22"/>
      <c r="T18" s="22"/>
      <c r="U18" s="23"/>
      <c r="V18" s="21">
        <v>94</v>
      </c>
      <c r="W18" s="22"/>
      <c r="X18" s="22"/>
      <c r="Y18" s="23"/>
      <c r="Z18" s="21"/>
      <c r="AA18" s="22"/>
      <c r="AB18" s="22"/>
      <c r="AC18" s="23"/>
      <c r="AD18" s="24">
        <f>SUM(N18:AC18)/4</f>
        <v>71.25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93.25</v>
      </c>
      <c r="O20" s="16"/>
      <c r="P20" s="16"/>
      <c r="Q20" s="16"/>
      <c r="R20" s="16">
        <v>88.6</v>
      </c>
      <c r="S20" s="16"/>
      <c r="T20" s="16"/>
      <c r="U20" s="16"/>
      <c r="V20" s="16">
        <v>84.8</v>
      </c>
      <c r="W20" s="16"/>
      <c r="X20" s="16"/>
      <c r="Y20" s="16"/>
      <c r="Z20" s="16"/>
      <c r="AA20" s="16"/>
      <c r="AB20" s="16"/>
      <c r="AC20" s="16"/>
      <c r="AD20" s="24">
        <f>SUM(N20:AC20)/4</f>
        <v>66.6625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91.5</v>
      </c>
      <c r="O21" s="60"/>
      <c r="P21" s="60"/>
      <c r="Q21" s="60"/>
      <c r="R21" s="60">
        <f>SUM(R7:U13,R18)/8</f>
        <v>92.25</v>
      </c>
      <c r="S21" s="60"/>
      <c r="T21" s="60"/>
      <c r="U21" s="60"/>
      <c r="V21" s="60">
        <f>SUM(V7:Y13,V18)/8</f>
        <v>91.75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68.875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4</v>
      </c>
      <c r="S27" s="19"/>
      <c r="T27" s="19">
        <v>4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4</v>
      </c>
      <c r="S29" s="19"/>
      <c r="T29" s="19">
        <v>4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2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2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3.1666666666667</v>
      </c>
      <c r="S38" s="20"/>
      <c r="T38" s="20">
        <f>SUM(T26:U37)/12</f>
        <v>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441010190007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88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92</v>
      </c>
      <c r="O7" s="16"/>
      <c r="P7" s="16"/>
      <c r="Q7" s="16"/>
      <c r="R7" s="16">
        <v>93</v>
      </c>
      <c r="S7" s="16"/>
      <c r="T7" s="16"/>
      <c r="U7" s="16"/>
      <c r="V7" s="16">
        <v>92</v>
      </c>
      <c r="W7" s="16"/>
      <c r="X7" s="16"/>
      <c r="Y7" s="16"/>
      <c r="Z7" s="16"/>
      <c r="AA7" s="16"/>
      <c r="AB7" s="16"/>
      <c r="AC7" s="16"/>
      <c r="AD7" s="24">
        <f>SUM(N7:AC7)/4</f>
        <v>69.25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96</v>
      </c>
      <c r="O8" s="16"/>
      <c r="P8" s="16"/>
      <c r="Q8" s="16"/>
      <c r="R8" s="16">
        <v>94</v>
      </c>
      <c r="S8" s="16"/>
      <c r="T8" s="16"/>
      <c r="U8" s="16"/>
      <c r="V8" s="16">
        <v>94</v>
      </c>
      <c r="W8" s="16"/>
      <c r="X8" s="16"/>
      <c r="Y8" s="16"/>
      <c r="Z8" s="16"/>
      <c r="AA8" s="16"/>
      <c r="AB8" s="16"/>
      <c r="AC8" s="16"/>
      <c r="AD8" s="24">
        <f>SUM(N8:AC8)/4</f>
        <v>71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91</v>
      </c>
      <c r="O9" s="16"/>
      <c r="P9" s="16"/>
      <c r="Q9" s="16"/>
      <c r="R9" s="16">
        <v>93</v>
      </c>
      <c r="S9" s="16"/>
      <c r="T9" s="16"/>
      <c r="U9" s="16"/>
      <c r="V9" s="16">
        <v>94</v>
      </c>
      <c r="W9" s="16"/>
      <c r="X9" s="16"/>
      <c r="Y9" s="16"/>
      <c r="Z9" s="16"/>
      <c r="AA9" s="16"/>
      <c r="AB9" s="16"/>
      <c r="AC9" s="16"/>
      <c r="AD9" s="24">
        <f>SUM(N9:AC9)/4</f>
        <v>69.5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85</v>
      </c>
      <c r="O10" s="16"/>
      <c r="P10" s="16"/>
      <c r="Q10" s="16"/>
      <c r="R10" s="16">
        <v>94</v>
      </c>
      <c r="S10" s="16"/>
      <c r="T10" s="16"/>
      <c r="U10" s="16"/>
      <c r="V10" s="16">
        <v>92</v>
      </c>
      <c r="W10" s="16"/>
      <c r="X10" s="16"/>
      <c r="Y10" s="16"/>
      <c r="Z10" s="16"/>
      <c r="AA10" s="16"/>
      <c r="AB10" s="16"/>
      <c r="AC10" s="16"/>
      <c r="AD10" s="24">
        <f>SUM(N10:AC10)/4</f>
        <v>67.75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90</v>
      </c>
      <c r="O11" s="16"/>
      <c r="P11" s="16"/>
      <c r="Q11" s="16"/>
      <c r="R11" s="16">
        <v>96</v>
      </c>
      <c r="S11" s="16"/>
      <c r="T11" s="16"/>
      <c r="U11" s="16"/>
      <c r="V11" s="16">
        <v>92</v>
      </c>
      <c r="W11" s="16"/>
      <c r="X11" s="16"/>
      <c r="Y11" s="16"/>
      <c r="Z11" s="16"/>
      <c r="AA11" s="16"/>
      <c r="AB11" s="16"/>
      <c r="AC11" s="16"/>
      <c r="AD11" s="24">
        <f>SUM(N11:AC11)/4</f>
        <v>69.5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98</v>
      </c>
      <c r="O12" s="16"/>
      <c r="P12" s="16"/>
      <c r="Q12" s="16"/>
      <c r="R12" s="16">
        <v>97</v>
      </c>
      <c r="S12" s="16"/>
      <c r="T12" s="16"/>
      <c r="U12" s="16"/>
      <c r="V12" s="16">
        <v>97</v>
      </c>
      <c r="W12" s="16"/>
      <c r="X12" s="16"/>
      <c r="Y12" s="16"/>
      <c r="Z12" s="16"/>
      <c r="AA12" s="16"/>
      <c r="AB12" s="16"/>
      <c r="AC12" s="16"/>
      <c r="AD12" s="24">
        <f>SUM(N12:AC12)/4</f>
        <v>73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96</v>
      </c>
      <c r="O13" s="16"/>
      <c r="P13" s="16"/>
      <c r="Q13" s="16"/>
      <c r="R13" s="16">
        <v>96</v>
      </c>
      <c r="S13" s="16"/>
      <c r="T13" s="16"/>
      <c r="U13" s="16"/>
      <c r="V13" s="16">
        <v>96</v>
      </c>
      <c r="W13" s="16"/>
      <c r="X13" s="16"/>
      <c r="Y13" s="16"/>
      <c r="Z13" s="16"/>
      <c r="AA13" s="16"/>
      <c r="AB13" s="16"/>
      <c r="AC13" s="16"/>
      <c r="AD13" s="24">
        <f>SUM(N13:AC13)/4</f>
        <v>72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94</v>
      </c>
      <c r="O14" s="16"/>
      <c r="P14" s="16"/>
      <c r="Q14" s="16"/>
      <c r="R14" s="16">
        <v>90</v>
      </c>
      <c r="S14" s="16"/>
      <c r="T14" s="16"/>
      <c r="U14" s="16"/>
      <c r="V14" s="16">
        <v>92</v>
      </c>
      <c r="W14" s="16"/>
      <c r="X14" s="16"/>
      <c r="Y14" s="16"/>
      <c r="Z14" s="16"/>
      <c r="AA14" s="16"/>
      <c r="AB14" s="16"/>
      <c r="AC14" s="16"/>
      <c r="AD14" s="24">
        <f>SUM(N14:AC14)/4</f>
        <v>69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92</v>
      </c>
      <c r="O15" s="16"/>
      <c r="P15" s="16"/>
      <c r="Q15" s="16"/>
      <c r="R15" s="16">
        <v>96</v>
      </c>
      <c r="S15" s="16"/>
      <c r="T15" s="16"/>
      <c r="U15" s="16"/>
      <c r="V15" s="16">
        <v>96</v>
      </c>
      <c r="W15" s="16"/>
      <c r="X15" s="16"/>
      <c r="Y15" s="16"/>
      <c r="Z15" s="16"/>
      <c r="AA15" s="16"/>
      <c r="AB15" s="16"/>
      <c r="AC15" s="16"/>
      <c r="AD15" s="24">
        <f>SUM(N15:AC15)/4</f>
        <v>71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98</v>
      </c>
      <c r="S16" s="16"/>
      <c r="T16" s="16"/>
      <c r="U16" s="16"/>
      <c r="V16" s="16">
        <v>98</v>
      </c>
      <c r="W16" s="16"/>
      <c r="X16" s="16"/>
      <c r="Y16" s="16"/>
      <c r="Z16" s="16"/>
      <c r="AA16" s="16"/>
      <c r="AB16" s="16"/>
      <c r="AC16" s="16"/>
      <c r="AD16" s="24">
        <f>SUM(N16:AC16)/4</f>
        <v>73.75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99</v>
      </c>
      <c r="O17" s="16"/>
      <c r="P17" s="16"/>
      <c r="Q17" s="16"/>
      <c r="R17" s="16">
        <v>99</v>
      </c>
      <c r="S17" s="16"/>
      <c r="T17" s="16"/>
      <c r="U17" s="16"/>
      <c r="V17" s="16">
        <v>99</v>
      </c>
      <c r="W17" s="16"/>
      <c r="X17" s="16"/>
      <c r="Y17" s="16"/>
      <c r="Z17" s="16"/>
      <c r="AA17" s="16"/>
      <c r="AB17" s="16"/>
      <c r="AC17" s="16"/>
      <c r="AD17" s="24">
        <f>SUM(N17:AC17)/4</f>
        <v>74.25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97</v>
      </c>
      <c r="O18" s="22"/>
      <c r="P18" s="22"/>
      <c r="Q18" s="23"/>
      <c r="R18" s="21">
        <v>95</v>
      </c>
      <c r="S18" s="22"/>
      <c r="T18" s="22"/>
      <c r="U18" s="23"/>
      <c r="V18" s="21">
        <v>94</v>
      </c>
      <c r="W18" s="22"/>
      <c r="X18" s="22"/>
      <c r="Y18" s="23"/>
      <c r="Z18" s="21"/>
      <c r="AA18" s="22"/>
      <c r="AB18" s="22"/>
      <c r="AC18" s="23"/>
      <c r="AD18" s="24">
        <f>SUM(N18:AC18)/4</f>
        <v>71.5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98.75</v>
      </c>
      <c r="O20" s="16"/>
      <c r="P20" s="16"/>
      <c r="Q20" s="16"/>
      <c r="R20" s="16">
        <v>95.1</v>
      </c>
      <c r="S20" s="16"/>
      <c r="T20" s="16"/>
      <c r="U20" s="16"/>
      <c r="V20" s="16">
        <v>96.15</v>
      </c>
      <c r="W20" s="16"/>
      <c r="X20" s="16"/>
      <c r="Y20" s="16"/>
      <c r="Z20" s="16"/>
      <c r="AA20" s="16"/>
      <c r="AB20" s="16"/>
      <c r="AC20" s="16"/>
      <c r="AD20" s="24">
        <f>SUM(N20:AC20)/4</f>
        <v>72.5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93.125</v>
      </c>
      <c r="O21" s="60"/>
      <c r="P21" s="60"/>
      <c r="Q21" s="60"/>
      <c r="R21" s="60">
        <f>SUM(R7:U13,R18)/8</f>
        <v>94.75</v>
      </c>
      <c r="S21" s="60"/>
      <c r="T21" s="60"/>
      <c r="U21" s="60"/>
      <c r="V21" s="60">
        <f>SUM(V7:Y13,V18)/8</f>
        <v>93.875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70.4375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4</v>
      </c>
      <c r="S27" s="19"/>
      <c r="T27" s="19">
        <v>4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4</v>
      </c>
      <c r="S36" s="19"/>
      <c r="T36" s="19">
        <v>4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4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3.1666666666667</v>
      </c>
      <c r="S38" s="20"/>
      <c r="T38" s="20">
        <f>SUM(T26:U37)/12</f>
        <v>3.25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409484190028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89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86</v>
      </c>
      <c r="O7" s="16"/>
      <c r="P7" s="16"/>
      <c r="Q7" s="16"/>
      <c r="R7" s="16">
        <v>87</v>
      </c>
      <c r="S7" s="16"/>
      <c r="T7" s="16"/>
      <c r="U7" s="16"/>
      <c r="V7" s="16">
        <v>85</v>
      </c>
      <c r="W7" s="16"/>
      <c r="X7" s="16"/>
      <c r="Y7" s="16"/>
      <c r="Z7" s="16"/>
      <c r="AA7" s="16"/>
      <c r="AB7" s="16"/>
      <c r="AC7" s="16"/>
      <c r="AD7" s="24">
        <f>SUM(N7:AC7)/4</f>
        <v>64.5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86</v>
      </c>
      <c r="O8" s="16"/>
      <c r="P8" s="16"/>
      <c r="Q8" s="16"/>
      <c r="R8" s="16">
        <v>82</v>
      </c>
      <c r="S8" s="16"/>
      <c r="T8" s="16"/>
      <c r="U8" s="16"/>
      <c r="V8" s="16">
        <v>89</v>
      </c>
      <c r="W8" s="16"/>
      <c r="X8" s="16"/>
      <c r="Y8" s="16"/>
      <c r="Z8" s="16"/>
      <c r="AA8" s="16"/>
      <c r="AB8" s="16"/>
      <c r="AC8" s="16"/>
      <c r="AD8" s="24">
        <f>SUM(N8:AC8)/4</f>
        <v>64.25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84</v>
      </c>
      <c r="O9" s="16"/>
      <c r="P9" s="16"/>
      <c r="Q9" s="16"/>
      <c r="R9" s="16">
        <v>84</v>
      </c>
      <c r="S9" s="16"/>
      <c r="T9" s="16"/>
      <c r="U9" s="16"/>
      <c r="V9" s="16">
        <v>82</v>
      </c>
      <c r="W9" s="16"/>
      <c r="X9" s="16"/>
      <c r="Y9" s="16"/>
      <c r="Z9" s="16"/>
      <c r="AA9" s="16"/>
      <c r="AB9" s="16"/>
      <c r="AC9" s="16"/>
      <c r="AD9" s="24">
        <f>SUM(N9:AC9)/4</f>
        <v>62.5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81</v>
      </c>
      <c r="O10" s="16"/>
      <c r="P10" s="16"/>
      <c r="Q10" s="16"/>
      <c r="R10" s="16">
        <v>89</v>
      </c>
      <c r="S10" s="16"/>
      <c r="T10" s="16"/>
      <c r="U10" s="16"/>
      <c r="V10" s="16">
        <v>92</v>
      </c>
      <c r="W10" s="16"/>
      <c r="X10" s="16"/>
      <c r="Y10" s="16"/>
      <c r="Z10" s="16"/>
      <c r="AA10" s="16"/>
      <c r="AB10" s="16"/>
      <c r="AC10" s="16"/>
      <c r="AD10" s="24">
        <f>SUM(N10:AC10)/4</f>
        <v>65.5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80</v>
      </c>
      <c r="O11" s="16"/>
      <c r="P11" s="16"/>
      <c r="Q11" s="16"/>
      <c r="R11" s="16">
        <v>84</v>
      </c>
      <c r="S11" s="16"/>
      <c r="T11" s="16"/>
      <c r="U11" s="16"/>
      <c r="V11" s="16">
        <v>80</v>
      </c>
      <c r="W11" s="16"/>
      <c r="X11" s="16"/>
      <c r="Y11" s="16"/>
      <c r="Z11" s="16"/>
      <c r="AA11" s="16"/>
      <c r="AB11" s="16"/>
      <c r="AC11" s="16"/>
      <c r="AD11" s="24">
        <f>SUM(N11:AC11)/4</f>
        <v>61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96</v>
      </c>
      <c r="O12" s="16"/>
      <c r="P12" s="16"/>
      <c r="Q12" s="16"/>
      <c r="R12" s="16">
        <v>92</v>
      </c>
      <c r="S12" s="16"/>
      <c r="T12" s="16"/>
      <c r="U12" s="16"/>
      <c r="V12" s="16">
        <v>92</v>
      </c>
      <c r="W12" s="16"/>
      <c r="X12" s="16"/>
      <c r="Y12" s="16"/>
      <c r="Z12" s="16"/>
      <c r="AA12" s="16"/>
      <c r="AB12" s="16"/>
      <c r="AC12" s="16"/>
      <c r="AD12" s="24">
        <f>SUM(N12:AC12)/4</f>
        <v>70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95</v>
      </c>
      <c r="O13" s="16"/>
      <c r="P13" s="16"/>
      <c r="Q13" s="16"/>
      <c r="R13" s="16">
        <v>95</v>
      </c>
      <c r="S13" s="16"/>
      <c r="T13" s="16"/>
      <c r="U13" s="16"/>
      <c r="V13" s="16">
        <v>93</v>
      </c>
      <c r="W13" s="16"/>
      <c r="X13" s="16"/>
      <c r="Y13" s="16"/>
      <c r="Z13" s="16"/>
      <c r="AA13" s="16"/>
      <c r="AB13" s="16"/>
      <c r="AC13" s="16"/>
      <c r="AD13" s="24">
        <f>SUM(N13:AC13)/4</f>
        <v>70.75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92</v>
      </c>
      <c r="O14" s="16"/>
      <c r="P14" s="16"/>
      <c r="Q14" s="16"/>
      <c r="R14" s="16">
        <v>93</v>
      </c>
      <c r="S14" s="16"/>
      <c r="T14" s="16"/>
      <c r="U14" s="16"/>
      <c r="V14" s="16">
        <v>90</v>
      </c>
      <c r="W14" s="16"/>
      <c r="X14" s="16"/>
      <c r="Y14" s="16"/>
      <c r="Z14" s="16"/>
      <c r="AA14" s="16"/>
      <c r="AB14" s="16"/>
      <c r="AC14" s="16"/>
      <c r="AD14" s="24">
        <f>SUM(N14:AC14)/4</f>
        <v>68.75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92</v>
      </c>
      <c r="O15" s="16"/>
      <c r="P15" s="16"/>
      <c r="Q15" s="16"/>
      <c r="R15" s="16">
        <v>92</v>
      </c>
      <c r="S15" s="16"/>
      <c r="T15" s="16"/>
      <c r="U15" s="16"/>
      <c r="V15" s="16">
        <v>91</v>
      </c>
      <c r="W15" s="16"/>
      <c r="X15" s="16"/>
      <c r="Y15" s="16"/>
      <c r="Z15" s="16"/>
      <c r="AA15" s="16"/>
      <c r="AB15" s="16"/>
      <c r="AC15" s="16"/>
      <c r="AD15" s="24">
        <f>SUM(N15:AC15)/4</f>
        <v>68.75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98</v>
      </c>
      <c r="S16" s="16"/>
      <c r="T16" s="16"/>
      <c r="U16" s="16"/>
      <c r="V16" s="16">
        <v>98</v>
      </c>
      <c r="W16" s="16"/>
      <c r="X16" s="16"/>
      <c r="Y16" s="16"/>
      <c r="Z16" s="16"/>
      <c r="AA16" s="16"/>
      <c r="AB16" s="16"/>
      <c r="AC16" s="16"/>
      <c r="AD16" s="24">
        <f>SUM(N16:AC16)/4</f>
        <v>73.75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97</v>
      </c>
      <c r="O17" s="16"/>
      <c r="P17" s="16"/>
      <c r="Q17" s="16"/>
      <c r="R17" s="16">
        <v>97</v>
      </c>
      <c r="S17" s="16"/>
      <c r="T17" s="16"/>
      <c r="U17" s="16"/>
      <c r="V17" s="16">
        <v>93</v>
      </c>
      <c r="W17" s="16"/>
      <c r="X17" s="16"/>
      <c r="Y17" s="16"/>
      <c r="Z17" s="16"/>
      <c r="AA17" s="16"/>
      <c r="AB17" s="16"/>
      <c r="AC17" s="16"/>
      <c r="AD17" s="24">
        <f>SUM(N17:AC17)/4</f>
        <v>71.75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97</v>
      </c>
      <c r="O18" s="22"/>
      <c r="P18" s="22"/>
      <c r="Q18" s="23"/>
      <c r="R18" s="21">
        <v>87</v>
      </c>
      <c r="S18" s="22"/>
      <c r="T18" s="22"/>
      <c r="U18" s="23"/>
      <c r="V18" s="21">
        <v>89</v>
      </c>
      <c r="W18" s="22"/>
      <c r="X18" s="22"/>
      <c r="Y18" s="23"/>
      <c r="Z18" s="21"/>
      <c r="AA18" s="22"/>
      <c r="AB18" s="22"/>
      <c r="AC18" s="23"/>
      <c r="AD18" s="24">
        <f>SUM(N18:AC18)/4</f>
        <v>68.25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93.9</v>
      </c>
      <c r="O20" s="16"/>
      <c r="P20" s="16"/>
      <c r="Q20" s="16"/>
      <c r="R20" s="16">
        <v>91</v>
      </c>
      <c r="S20" s="16"/>
      <c r="T20" s="16"/>
      <c r="U20" s="16"/>
      <c r="V20" s="16">
        <v>86.75</v>
      </c>
      <c r="W20" s="16"/>
      <c r="X20" s="16"/>
      <c r="Y20" s="16"/>
      <c r="Z20" s="16"/>
      <c r="AA20" s="16"/>
      <c r="AB20" s="16"/>
      <c r="AC20" s="16"/>
      <c r="AD20" s="24">
        <f>SUM(N20:AC20)/4</f>
        <v>67.9125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88.125</v>
      </c>
      <c r="O21" s="60"/>
      <c r="P21" s="60"/>
      <c r="Q21" s="60"/>
      <c r="R21" s="60">
        <f>SUM(R7:U13,R18)/8</f>
        <v>87.5</v>
      </c>
      <c r="S21" s="60"/>
      <c r="T21" s="60"/>
      <c r="U21" s="60"/>
      <c r="V21" s="60">
        <f>SUM(V7:Y13,V18)/8</f>
        <v>87.75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65.84375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2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2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2.8333333333333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404112190011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90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86</v>
      </c>
      <c r="O7" s="16"/>
      <c r="P7" s="16"/>
      <c r="Q7" s="16"/>
      <c r="R7" s="16">
        <v>85</v>
      </c>
      <c r="S7" s="16"/>
      <c r="T7" s="16"/>
      <c r="U7" s="16"/>
      <c r="V7" s="16">
        <v>80</v>
      </c>
      <c r="W7" s="16"/>
      <c r="X7" s="16"/>
      <c r="Y7" s="16"/>
      <c r="Z7" s="16"/>
      <c r="AA7" s="16"/>
      <c r="AB7" s="16"/>
      <c r="AC7" s="16"/>
      <c r="AD7" s="24">
        <f>SUM(N7:AC7)/4</f>
        <v>62.75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94</v>
      </c>
      <c r="O8" s="16"/>
      <c r="P8" s="16"/>
      <c r="Q8" s="16"/>
      <c r="R8" s="16">
        <v>88</v>
      </c>
      <c r="S8" s="16"/>
      <c r="T8" s="16"/>
      <c r="U8" s="16"/>
      <c r="V8" s="16">
        <v>94</v>
      </c>
      <c r="W8" s="16"/>
      <c r="X8" s="16"/>
      <c r="Y8" s="16"/>
      <c r="Z8" s="16"/>
      <c r="AA8" s="16"/>
      <c r="AB8" s="16"/>
      <c r="AC8" s="16"/>
      <c r="AD8" s="24">
        <f>SUM(N8:AC8)/4</f>
        <v>69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95</v>
      </c>
      <c r="O9" s="16"/>
      <c r="P9" s="16"/>
      <c r="Q9" s="16"/>
      <c r="R9" s="16">
        <v>93</v>
      </c>
      <c r="S9" s="16"/>
      <c r="T9" s="16"/>
      <c r="U9" s="16"/>
      <c r="V9" s="16">
        <v>85</v>
      </c>
      <c r="W9" s="16"/>
      <c r="X9" s="16"/>
      <c r="Y9" s="16"/>
      <c r="Z9" s="16"/>
      <c r="AA9" s="16"/>
      <c r="AB9" s="16"/>
      <c r="AC9" s="16"/>
      <c r="AD9" s="24">
        <f>SUM(N9:AC9)/4</f>
        <v>68.25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89</v>
      </c>
      <c r="O10" s="16"/>
      <c r="P10" s="16"/>
      <c r="Q10" s="16"/>
      <c r="R10" s="16">
        <v>91</v>
      </c>
      <c r="S10" s="16"/>
      <c r="T10" s="16"/>
      <c r="U10" s="16"/>
      <c r="V10" s="16">
        <v>89</v>
      </c>
      <c r="W10" s="16"/>
      <c r="X10" s="16"/>
      <c r="Y10" s="16"/>
      <c r="Z10" s="16"/>
      <c r="AA10" s="16"/>
      <c r="AB10" s="16"/>
      <c r="AC10" s="16"/>
      <c r="AD10" s="24">
        <f>SUM(N10:AC10)/4</f>
        <v>67.25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92</v>
      </c>
      <c r="O11" s="16"/>
      <c r="P11" s="16"/>
      <c r="Q11" s="16"/>
      <c r="R11" s="16">
        <v>90</v>
      </c>
      <c r="S11" s="16"/>
      <c r="T11" s="16"/>
      <c r="U11" s="16"/>
      <c r="V11" s="16">
        <v>87</v>
      </c>
      <c r="W11" s="16"/>
      <c r="X11" s="16"/>
      <c r="Y11" s="16"/>
      <c r="Z11" s="16"/>
      <c r="AA11" s="16"/>
      <c r="AB11" s="16"/>
      <c r="AC11" s="16"/>
      <c r="AD11" s="24">
        <f>SUM(N11:AC11)/4</f>
        <v>67.25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97</v>
      </c>
      <c r="O12" s="16"/>
      <c r="P12" s="16"/>
      <c r="Q12" s="16"/>
      <c r="R12" s="16">
        <v>94</v>
      </c>
      <c r="S12" s="16"/>
      <c r="T12" s="16"/>
      <c r="U12" s="16"/>
      <c r="V12" s="16">
        <v>99</v>
      </c>
      <c r="W12" s="16"/>
      <c r="X12" s="16"/>
      <c r="Y12" s="16"/>
      <c r="Z12" s="16"/>
      <c r="AA12" s="16"/>
      <c r="AB12" s="16"/>
      <c r="AC12" s="16"/>
      <c r="AD12" s="24">
        <f>SUM(N12:AC12)/4</f>
        <v>72.5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96</v>
      </c>
      <c r="O13" s="16"/>
      <c r="P13" s="16"/>
      <c r="Q13" s="16"/>
      <c r="R13" s="16">
        <v>96</v>
      </c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24">
        <f>SUM(N13:AC13)/4</f>
        <v>48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97</v>
      </c>
      <c r="O14" s="16"/>
      <c r="P14" s="16"/>
      <c r="Q14" s="16"/>
      <c r="R14" s="16">
        <v>98</v>
      </c>
      <c r="S14" s="16"/>
      <c r="T14" s="16"/>
      <c r="U14" s="16"/>
      <c r="V14" s="16">
        <v>94</v>
      </c>
      <c r="W14" s="16"/>
      <c r="X14" s="16"/>
      <c r="Y14" s="16"/>
      <c r="Z14" s="16"/>
      <c r="AA14" s="16"/>
      <c r="AB14" s="16"/>
      <c r="AC14" s="16"/>
      <c r="AD14" s="24">
        <f>SUM(N14:AC14)/4</f>
        <v>72.25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90</v>
      </c>
      <c r="O15" s="16"/>
      <c r="P15" s="16"/>
      <c r="Q15" s="16"/>
      <c r="R15" s="16">
        <v>91</v>
      </c>
      <c r="S15" s="16"/>
      <c r="T15" s="16"/>
      <c r="U15" s="16"/>
      <c r="V15" s="16">
        <v>93</v>
      </c>
      <c r="W15" s="16"/>
      <c r="X15" s="16"/>
      <c r="Y15" s="16"/>
      <c r="Z15" s="16"/>
      <c r="AA15" s="16"/>
      <c r="AB15" s="16"/>
      <c r="AC15" s="16"/>
      <c r="AD15" s="24">
        <f>SUM(N15:AC15)/4</f>
        <v>68.5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98</v>
      </c>
      <c r="O16" s="16"/>
      <c r="P16" s="16"/>
      <c r="Q16" s="16"/>
      <c r="R16" s="16">
        <v>96</v>
      </c>
      <c r="S16" s="16"/>
      <c r="T16" s="16"/>
      <c r="U16" s="16"/>
      <c r="V16" s="16">
        <v>97</v>
      </c>
      <c r="W16" s="16"/>
      <c r="X16" s="16"/>
      <c r="Y16" s="16"/>
      <c r="Z16" s="16"/>
      <c r="AA16" s="16"/>
      <c r="AB16" s="16"/>
      <c r="AC16" s="16"/>
      <c r="AD16" s="24">
        <f>SUM(N16:AC16)/4</f>
        <v>72.75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99</v>
      </c>
      <c r="O17" s="16"/>
      <c r="P17" s="16"/>
      <c r="Q17" s="16"/>
      <c r="R17" s="16">
        <v>99</v>
      </c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24">
        <f>SUM(N17:AC17)/4</f>
        <v>49.5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96</v>
      </c>
      <c r="O18" s="22"/>
      <c r="P18" s="22"/>
      <c r="Q18" s="23"/>
      <c r="R18" s="21">
        <v>91</v>
      </c>
      <c r="S18" s="22"/>
      <c r="T18" s="22"/>
      <c r="U18" s="23"/>
      <c r="V18" s="21">
        <v>94</v>
      </c>
      <c r="W18" s="22"/>
      <c r="X18" s="22"/>
      <c r="Y18" s="23"/>
      <c r="Z18" s="21"/>
      <c r="AA18" s="22"/>
      <c r="AB18" s="22"/>
      <c r="AC18" s="23"/>
      <c r="AD18" s="24">
        <f>SUM(N18:AC18)/4</f>
        <v>70.25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85.8</v>
      </c>
      <c r="O20" s="16"/>
      <c r="P20" s="16"/>
      <c r="Q20" s="16"/>
      <c r="R20" s="16">
        <v>81.3</v>
      </c>
      <c r="S20" s="16"/>
      <c r="T20" s="16"/>
      <c r="U20" s="16"/>
      <c r="V20" s="16">
        <v>72.3</v>
      </c>
      <c r="W20" s="16"/>
      <c r="X20" s="16"/>
      <c r="Y20" s="16"/>
      <c r="Z20" s="16"/>
      <c r="AA20" s="16"/>
      <c r="AB20" s="16"/>
      <c r="AC20" s="16"/>
      <c r="AD20" s="24">
        <f>SUM(N20:AC20)/4</f>
        <v>59.85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93.125</v>
      </c>
      <c r="O21" s="60"/>
      <c r="P21" s="60"/>
      <c r="Q21" s="60"/>
      <c r="R21" s="60">
        <f>SUM(R7:U13,R18)/8</f>
        <v>91</v>
      </c>
      <c r="S21" s="60"/>
      <c r="T21" s="60"/>
      <c r="U21" s="60"/>
      <c r="V21" s="60">
        <f>SUM(V7:Y13,V18)/8</f>
        <v>78.5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65.65625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404147190012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91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85</v>
      </c>
      <c r="O7" s="16"/>
      <c r="P7" s="16"/>
      <c r="Q7" s="16"/>
      <c r="R7" s="16">
        <v>84</v>
      </c>
      <c r="S7" s="16"/>
      <c r="T7" s="16"/>
      <c r="U7" s="16"/>
      <c r="V7" s="16">
        <v>80</v>
      </c>
      <c r="W7" s="16"/>
      <c r="X7" s="16"/>
      <c r="Y7" s="16"/>
      <c r="Z7" s="16"/>
      <c r="AA7" s="16"/>
      <c r="AB7" s="16"/>
      <c r="AC7" s="16"/>
      <c r="AD7" s="24">
        <f>SUM(N7:AC7)/4</f>
        <v>62.25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87</v>
      </c>
      <c r="O8" s="16"/>
      <c r="P8" s="16"/>
      <c r="Q8" s="16"/>
      <c r="R8" s="16">
        <v>85</v>
      </c>
      <c r="S8" s="16"/>
      <c r="T8" s="16"/>
      <c r="U8" s="16"/>
      <c r="V8" s="16">
        <v>91</v>
      </c>
      <c r="W8" s="16"/>
      <c r="X8" s="16"/>
      <c r="Y8" s="16"/>
      <c r="Z8" s="16"/>
      <c r="AA8" s="16"/>
      <c r="AB8" s="16"/>
      <c r="AC8" s="16"/>
      <c r="AD8" s="24">
        <f>SUM(N8:AC8)/4</f>
        <v>65.75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80</v>
      </c>
      <c r="O9" s="16"/>
      <c r="P9" s="16"/>
      <c r="Q9" s="16"/>
      <c r="R9" s="16">
        <v>84</v>
      </c>
      <c r="S9" s="16"/>
      <c r="T9" s="16"/>
      <c r="U9" s="16"/>
      <c r="V9" s="16">
        <v>82</v>
      </c>
      <c r="W9" s="16"/>
      <c r="X9" s="16"/>
      <c r="Y9" s="16"/>
      <c r="Z9" s="16"/>
      <c r="AA9" s="16"/>
      <c r="AB9" s="16"/>
      <c r="AC9" s="16"/>
      <c r="AD9" s="24">
        <f>SUM(N9:AC9)/4</f>
        <v>61.5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85</v>
      </c>
      <c r="O10" s="16"/>
      <c r="P10" s="16"/>
      <c r="Q10" s="16"/>
      <c r="R10" s="16">
        <v>84</v>
      </c>
      <c r="S10" s="16"/>
      <c r="T10" s="16"/>
      <c r="U10" s="16"/>
      <c r="V10" s="16">
        <v>82</v>
      </c>
      <c r="W10" s="16"/>
      <c r="X10" s="16"/>
      <c r="Y10" s="16"/>
      <c r="Z10" s="16"/>
      <c r="AA10" s="16"/>
      <c r="AB10" s="16"/>
      <c r="AC10" s="16"/>
      <c r="AD10" s="24">
        <f>SUM(N10:AC10)/4</f>
        <v>62.75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81</v>
      </c>
      <c r="O11" s="16"/>
      <c r="P11" s="16"/>
      <c r="Q11" s="16"/>
      <c r="R11" s="16">
        <v>85</v>
      </c>
      <c r="S11" s="16"/>
      <c r="T11" s="16"/>
      <c r="U11" s="16"/>
      <c r="V11" s="16">
        <v>81</v>
      </c>
      <c r="W11" s="16"/>
      <c r="X11" s="16"/>
      <c r="Y11" s="16"/>
      <c r="Z11" s="16"/>
      <c r="AA11" s="16"/>
      <c r="AB11" s="16"/>
      <c r="AC11" s="16"/>
      <c r="AD11" s="24">
        <f>SUM(N11:AC11)/4</f>
        <v>61.75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90</v>
      </c>
      <c r="O12" s="16"/>
      <c r="P12" s="16"/>
      <c r="Q12" s="16"/>
      <c r="R12" s="16">
        <v>87</v>
      </c>
      <c r="S12" s="16"/>
      <c r="T12" s="16"/>
      <c r="U12" s="16"/>
      <c r="V12" s="16">
        <v>97</v>
      </c>
      <c r="W12" s="16"/>
      <c r="X12" s="16"/>
      <c r="Y12" s="16"/>
      <c r="Z12" s="16"/>
      <c r="AA12" s="16"/>
      <c r="AB12" s="16"/>
      <c r="AC12" s="16"/>
      <c r="AD12" s="24">
        <f>SUM(N12:AC12)/4</f>
        <v>68.5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92</v>
      </c>
      <c r="O13" s="16"/>
      <c r="P13" s="16"/>
      <c r="Q13" s="16"/>
      <c r="R13" s="16">
        <v>94</v>
      </c>
      <c r="S13" s="16"/>
      <c r="T13" s="16"/>
      <c r="U13" s="16"/>
      <c r="V13" s="16">
        <v>93</v>
      </c>
      <c r="W13" s="16"/>
      <c r="X13" s="16"/>
      <c r="Y13" s="16"/>
      <c r="Z13" s="16"/>
      <c r="AA13" s="16"/>
      <c r="AB13" s="16"/>
      <c r="AC13" s="16"/>
      <c r="AD13" s="24">
        <f>SUM(N13:AC13)/4</f>
        <v>69.75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85</v>
      </c>
      <c r="O14" s="16"/>
      <c r="P14" s="16"/>
      <c r="Q14" s="16"/>
      <c r="R14" s="16">
        <v>90</v>
      </c>
      <c r="S14" s="16"/>
      <c r="T14" s="16"/>
      <c r="U14" s="16"/>
      <c r="V14" s="16">
        <v>89</v>
      </c>
      <c r="W14" s="16"/>
      <c r="X14" s="16"/>
      <c r="Y14" s="16"/>
      <c r="Z14" s="16"/>
      <c r="AA14" s="16"/>
      <c r="AB14" s="16"/>
      <c r="AC14" s="16"/>
      <c r="AD14" s="24">
        <f>SUM(N14:AC14)/4</f>
        <v>66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90</v>
      </c>
      <c r="O15" s="16"/>
      <c r="P15" s="16"/>
      <c r="Q15" s="16"/>
      <c r="R15" s="16">
        <v>91</v>
      </c>
      <c r="S15" s="16"/>
      <c r="T15" s="16"/>
      <c r="U15" s="16"/>
      <c r="V15" s="16">
        <v>93</v>
      </c>
      <c r="W15" s="16"/>
      <c r="X15" s="16"/>
      <c r="Y15" s="16"/>
      <c r="Z15" s="16"/>
      <c r="AA15" s="16"/>
      <c r="AB15" s="16"/>
      <c r="AC15" s="16"/>
      <c r="AD15" s="24">
        <f>SUM(N15:AC15)/4</f>
        <v>68.5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97</v>
      </c>
      <c r="O16" s="16"/>
      <c r="P16" s="16"/>
      <c r="Q16" s="16"/>
      <c r="R16" s="16">
        <v>97</v>
      </c>
      <c r="S16" s="16"/>
      <c r="T16" s="16"/>
      <c r="U16" s="16"/>
      <c r="V16" s="16">
        <v>97</v>
      </c>
      <c r="W16" s="16"/>
      <c r="X16" s="16"/>
      <c r="Y16" s="16"/>
      <c r="Z16" s="16"/>
      <c r="AA16" s="16"/>
      <c r="AB16" s="16"/>
      <c r="AC16" s="16"/>
      <c r="AD16" s="24">
        <f>SUM(N16:AC16)/4</f>
        <v>72.75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95</v>
      </c>
      <c r="O17" s="16"/>
      <c r="P17" s="16"/>
      <c r="Q17" s="16"/>
      <c r="R17" s="16">
        <v>98</v>
      </c>
      <c r="S17" s="16"/>
      <c r="T17" s="16"/>
      <c r="U17" s="16"/>
      <c r="V17" s="16">
        <v>94</v>
      </c>
      <c r="W17" s="16"/>
      <c r="X17" s="16"/>
      <c r="Y17" s="16"/>
      <c r="Z17" s="16"/>
      <c r="AA17" s="16"/>
      <c r="AB17" s="16"/>
      <c r="AC17" s="16"/>
      <c r="AD17" s="24">
        <f>SUM(N17:AC17)/4</f>
        <v>71.75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89</v>
      </c>
      <c r="O18" s="22"/>
      <c r="P18" s="22"/>
      <c r="Q18" s="23"/>
      <c r="R18" s="21">
        <v>96</v>
      </c>
      <c r="S18" s="22"/>
      <c r="T18" s="22"/>
      <c r="U18" s="23"/>
      <c r="V18" s="21">
        <v>93</v>
      </c>
      <c r="W18" s="22"/>
      <c r="X18" s="22"/>
      <c r="Y18" s="23"/>
      <c r="Z18" s="21"/>
      <c r="AA18" s="22"/>
      <c r="AB18" s="22"/>
      <c r="AC18" s="23"/>
      <c r="AD18" s="24">
        <f>SUM(N18:AC18)/4</f>
        <v>69.5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85.8</v>
      </c>
      <c r="O20" s="16"/>
      <c r="P20" s="16"/>
      <c r="Q20" s="16"/>
      <c r="R20" s="16">
        <v>79.2</v>
      </c>
      <c r="S20" s="16"/>
      <c r="T20" s="16"/>
      <c r="U20" s="16"/>
      <c r="V20" s="16">
        <v>75.55</v>
      </c>
      <c r="W20" s="16"/>
      <c r="X20" s="16"/>
      <c r="Y20" s="16"/>
      <c r="Z20" s="16"/>
      <c r="AA20" s="16"/>
      <c r="AB20" s="16"/>
      <c r="AC20" s="16"/>
      <c r="AD20" s="24">
        <f>SUM(N20:AC20)/4</f>
        <v>60.1375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86.125</v>
      </c>
      <c r="O21" s="60"/>
      <c r="P21" s="60"/>
      <c r="Q21" s="60"/>
      <c r="R21" s="60">
        <f>SUM(R7:U13,R18)/8</f>
        <v>87.375</v>
      </c>
      <c r="S21" s="60"/>
      <c r="T21" s="60"/>
      <c r="U21" s="60"/>
      <c r="V21" s="60">
        <f>SUM(V7:Y13,V18)/8</f>
        <v>87.375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65.21875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4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3.0833333333333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404147190068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92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94</v>
      </c>
      <c r="O7" s="16"/>
      <c r="P7" s="16"/>
      <c r="Q7" s="16"/>
      <c r="R7" s="16">
        <v>94</v>
      </c>
      <c r="S7" s="16"/>
      <c r="T7" s="16"/>
      <c r="U7" s="16"/>
      <c r="V7" s="16">
        <v>93</v>
      </c>
      <c r="W7" s="16"/>
      <c r="X7" s="16"/>
      <c r="Y7" s="16"/>
      <c r="Z7" s="16"/>
      <c r="AA7" s="16"/>
      <c r="AB7" s="16"/>
      <c r="AC7" s="16"/>
      <c r="AD7" s="24">
        <f>SUM(N7:AC7)/4</f>
        <v>70.25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96</v>
      </c>
      <c r="O8" s="16"/>
      <c r="P8" s="16"/>
      <c r="Q8" s="16"/>
      <c r="R8" s="16">
        <v>91</v>
      </c>
      <c r="S8" s="16"/>
      <c r="T8" s="16"/>
      <c r="U8" s="16"/>
      <c r="V8" s="16">
        <v>96</v>
      </c>
      <c r="W8" s="16"/>
      <c r="X8" s="16"/>
      <c r="Y8" s="16"/>
      <c r="Z8" s="16"/>
      <c r="AA8" s="16"/>
      <c r="AB8" s="16"/>
      <c r="AC8" s="16"/>
      <c r="AD8" s="24">
        <f>SUM(N8:AC8)/4</f>
        <v>70.75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94</v>
      </c>
      <c r="O9" s="16"/>
      <c r="P9" s="16"/>
      <c r="Q9" s="16"/>
      <c r="R9" s="16">
        <v>98</v>
      </c>
      <c r="S9" s="16"/>
      <c r="T9" s="16"/>
      <c r="U9" s="16"/>
      <c r="V9" s="16">
        <v>98</v>
      </c>
      <c r="W9" s="16"/>
      <c r="X9" s="16"/>
      <c r="Y9" s="16"/>
      <c r="Z9" s="16"/>
      <c r="AA9" s="16"/>
      <c r="AB9" s="16"/>
      <c r="AC9" s="16"/>
      <c r="AD9" s="24">
        <f>SUM(N9:AC9)/4</f>
        <v>72.5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91</v>
      </c>
      <c r="O10" s="16"/>
      <c r="P10" s="16"/>
      <c r="Q10" s="16"/>
      <c r="R10" s="16">
        <v>98</v>
      </c>
      <c r="S10" s="16"/>
      <c r="T10" s="16"/>
      <c r="U10" s="16"/>
      <c r="V10" s="16">
        <v>96</v>
      </c>
      <c r="W10" s="16"/>
      <c r="X10" s="16"/>
      <c r="Y10" s="16"/>
      <c r="Z10" s="16"/>
      <c r="AA10" s="16"/>
      <c r="AB10" s="16"/>
      <c r="AC10" s="16"/>
      <c r="AD10" s="24">
        <f>SUM(N10:AC10)/4</f>
        <v>71.25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93</v>
      </c>
      <c r="O11" s="16"/>
      <c r="P11" s="16"/>
      <c r="Q11" s="16"/>
      <c r="R11" s="16">
        <v>96</v>
      </c>
      <c r="S11" s="16"/>
      <c r="T11" s="16"/>
      <c r="U11" s="16"/>
      <c r="V11" s="16">
        <v>94</v>
      </c>
      <c r="W11" s="16"/>
      <c r="X11" s="16"/>
      <c r="Y11" s="16"/>
      <c r="Z11" s="16"/>
      <c r="AA11" s="16"/>
      <c r="AB11" s="16"/>
      <c r="AC11" s="16"/>
      <c r="AD11" s="24">
        <f>SUM(N11:AC11)/4</f>
        <v>70.75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97</v>
      </c>
      <c r="O12" s="16"/>
      <c r="P12" s="16"/>
      <c r="Q12" s="16"/>
      <c r="R12" s="16">
        <v>99</v>
      </c>
      <c r="S12" s="16"/>
      <c r="T12" s="16"/>
      <c r="U12" s="16"/>
      <c r="V12" s="16">
        <v>98</v>
      </c>
      <c r="W12" s="16"/>
      <c r="X12" s="16"/>
      <c r="Y12" s="16"/>
      <c r="Z12" s="16"/>
      <c r="AA12" s="16"/>
      <c r="AB12" s="16"/>
      <c r="AC12" s="16"/>
      <c r="AD12" s="24">
        <f>SUM(N12:AC12)/4</f>
        <v>73.5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96</v>
      </c>
      <c r="O13" s="16"/>
      <c r="P13" s="16"/>
      <c r="Q13" s="16"/>
      <c r="R13" s="16">
        <v>97</v>
      </c>
      <c r="S13" s="16"/>
      <c r="T13" s="16"/>
      <c r="U13" s="16"/>
      <c r="V13" s="16">
        <v>98</v>
      </c>
      <c r="W13" s="16"/>
      <c r="X13" s="16"/>
      <c r="Y13" s="16"/>
      <c r="Z13" s="16"/>
      <c r="AA13" s="16"/>
      <c r="AB13" s="16"/>
      <c r="AC13" s="16"/>
      <c r="AD13" s="24">
        <f>SUM(N13:AC13)/4</f>
        <v>72.75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93</v>
      </c>
      <c r="O14" s="16"/>
      <c r="P14" s="16"/>
      <c r="Q14" s="16"/>
      <c r="R14" s="16">
        <v>91</v>
      </c>
      <c r="S14" s="16"/>
      <c r="T14" s="16"/>
      <c r="U14" s="16"/>
      <c r="V14" s="16">
        <v>97</v>
      </c>
      <c r="W14" s="16"/>
      <c r="X14" s="16"/>
      <c r="Y14" s="16"/>
      <c r="Z14" s="16"/>
      <c r="AA14" s="16"/>
      <c r="AB14" s="16"/>
      <c r="AC14" s="16"/>
      <c r="AD14" s="24">
        <f>SUM(N14:AC14)/4</f>
        <v>70.25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93</v>
      </c>
      <c r="O15" s="16"/>
      <c r="P15" s="16"/>
      <c r="Q15" s="16"/>
      <c r="R15" s="16">
        <v>98</v>
      </c>
      <c r="S15" s="16"/>
      <c r="T15" s="16"/>
      <c r="U15" s="16"/>
      <c r="V15" s="16">
        <v>96</v>
      </c>
      <c r="W15" s="16"/>
      <c r="X15" s="16"/>
      <c r="Y15" s="16"/>
      <c r="Z15" s="16"/>
      <c r="AA15" s="16"/>
      <c r="AB15" s="16"/>
      <c r="AC15" s="16"/>
      <c r="AD15" s="24">
        <f>SUM(N15:AC15)/4</f>
        <v>71.75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98</v>
      </c>
      <c r="S16" s="16"/>
      <c r="T16" s="16"/>
      <c r="U16" s="16"/>
      <c r="V16" s="16">
        <v>98</v>
      </c>
      <c r="W16" s="16"/>
      <c r="X16" s="16"/>
      <c r="Y16" s="16"/>
      <c r="Z16" s="16"/>
      <c r="AA16" s="16"/>
      <c r="AB16" s="16"/>
      <c r="AC16" s="16"/>
      <c r="AD16" s="24">
        <f>SUM(N16:AC16)/4</f>
        <v>73.75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99</v>
      </c>
      <c r="O17" s="16"/>
      <c r="P17" s="16"/>
      <c r="Q17" s="16"/>
      <c r="R17" s="16">
        <v>99</v>
      </c>
      <c r="S17" s="16"/>
      <c r="T17" s="16"/>
      <c r="U17" s="16"/>
      <c r="V17" s="16">
        <v>100</v>
      </c>
      <c r="W17" s="16"/>
      <c r="X17" s="16"/>
      <c r="Y17" s="16"/>
      <c r="Z17" s="16"/>
      <c r="AA17" s="16"/>
      <c r="AB17" s="16"/>
      <c r="AC17" s="16"/>
      <c r="AD17" s="24">
        <f>SUM(N17:AC17)/4</f>
        <v>74.5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97</v>
      </c>
      <c r="O18" s="22"/>
      <c r="P18" s="22"/>
      <c r="Q18" s="23"/>
      <c r="R18" s="21">
        <v>99</v>
      </c>
      <c r="S18" s="22"/>
      <c r="T18" s="22"/>
      <c r="U18" s="23"/>
      <c r="V18" s="21">
        <v>98</v>
      </c>
      <c r="W18" s="22"/>
      <c r="X18" s="22"/>
      <c r="Y18" s="23"/>
      <c r="Z18" s="21"/>
      <c r="AA18" s="22"/>
      <c r="AB18" s="22"/>
      <c r="AC18" s="23"/>
      <c r="AD18" s="24">
        <f>SUM(N18:AC18)/4</f>
        <v>73.5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93.55</v>
      </c>
      <c r="O20" s="16"/>
      <c r="P20" s="16"/>
      <c r="Q20" s="16"/>
      <c r="R20" s="16">
        <v>97.8</v>
      </c>
      <c r="S20" s="16"/>
      <c r="T20" s="16"/>
      <c r="U20" s="16"/>
      <c r="V20" s="16">
        <v>96.05</v>
      </c>
      <c r="W20" s="16"/>
      <c r="X20" s="16"/>
      <c r="Y20" s="16"/>
      <c r="Z20" s="16"/>
      <c r="AA20" s="16"/>
      <c r="AB20" s="16"/>
      <c r="AC20" s="16"/>
      <c r="AD20" s="24">
        <f>SUM(N20:AC20)/4</f>
        <v>71.85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94.75</v>
      </c>
      <c r="O21" s="60"/>
      <c r="P21" s="60"/>
      <c r="Q21" s="60"/>
      <c r="R21" s="60">
        <f>SUM(R7:U13,R18)/8</f>
        <v>96.5</v>
      </c>
      <c r="S21" s="60"/>
      <c r="T21" s="60"/>
      <c r="U21" s="60"/>
      <c r="V21" s="60">
        <f>SUM(V7:Y13,V18)/8</f>
        <v>96.375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71.90625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4</v>
      </c>
      <c r="S26" s="19"/>
      <c r="T26" s="19">
        <v>4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4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4</v>
      </c>
      <c r="S36" s="19"/>
      <c r="T36" s="19">
        <v>4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3.1666666666667</v>
      </c>
      <c r="S38" s="20"/>
      <c r="T38" s="20">
        <f>SUM(T26:U37)/12</f>
        <v>3.25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404147190014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93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97</v>
      </c>
      <c r="O7" s="16"/>
      <c r="P7" s="16"/>
      <c r="Q7" s="16"/>
      <c r="R7" s="16">
        <v>98</v>
      </c>
      <c r="S7" s="16"/>
      <c r="T7" s="16"/>
      <c r="U7" s="16"/>
      <c r="V7" s="16">
        <v>97</v>
      </c>
      <c r="W7" s="16"/>
      <c r="X7" s="16"/>
      <c r="Y7" s="16"/>
      <c r="Z7" s="16"/>
      <c r="AA7" s="16"/>
      <c r="AB7" s="16"/>
      <c r="AC7" s="16"/>
      <c r="AD7" s="24">
        <f>SUM(N7:AC7)/4</f>
        <v>73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95</v>
      </c>
      <c r="O8" s="16"/>
      <c r="P8" s="16"/>
      <c r="Q8" s="16"/>
      <c r="R8" s="16">
        <v>91</v>
      </c>
      <c r="S8" s="16"/>
      <c r="T8" s="16"/>
      <c r="U8" s="16"/>
      <c r="V8" s="16">
        <v>98</v>
      </c>
      <c r="W8" s="16"/>
      <c r="X8" s="16"/>
      <c r="Y8" s="16"/>
      <c r="Z8" s="16"/>
      <c r="AA8" s="16"/>
      <c r="AB8" s="16"/>
      <c r="AC8" s="16"/>
      <c r="AD8" s="24">
        <f>SUM(N8:AC8)/4</f>
        <v>71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94</v>
      </c>
      <c r="O9" s="16"/>
      <c r="P9" s="16"/>
      <c r="Q9" s="16"/>
      <c r="R9" s="16">
        <v>94</v>
      </c>
      <c r="S9" s="16"/>
      <c r="T9" s="16"/>
      <c r="U9" s="16"/>
      <c r="V9" s="16">
        <v>96</v>
      </c>
      <c r="W9" s="16"/>
      <c r="X9" s="16"/>
      <c r="Y9" s="16"/>
      <c r="Z9" s="16"/>
      <c r="AA9" s="16"/>
      <c r="AB9" s="16"/>
      <c r="AC9" s="16"/>
      <c r="AD9" s="24">
        <f>SUM(N9:AC9)/4</f>
        <v>71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94</v>
      </c>
      <c r="O10" s="16"/>
      <c r="P10" s="16"/>
      <c r="Q10" s="16"/>
      <c r="R10" s="16">
        <v>98</v>
      </c>
      <c r="S10" s="16"/>
      <c r="T10" s="16"/>
      <c r="U10" s="16"/>
      <c r="V10" s="16">
        <v>96</v>
      </c>
      <c r="W10" s="16"/>
      <c r="X10" s="16"/>
      <c r="Y10" s="16"/>
      <c r="Z10" s="16"/>
      <c r="AA10" s="16"/>
      <c r="AB10" s="16"/>
      <c r="AC10" s="16"/>
      <c r="AD10" s="24">
        <f>SUM(N10:AC10)/4</f>
        <v>72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96</v>
      </c>
      <c r="O11" s="16"/>
      <c r="P11" s="16"/>
      <c r="Q11" s="16"/>
      <c r="R11" s="16">
        <v>96</v>
      </c>
      <c r="S11" s="16"/>
      <c r="T11" s="16"/>
      <c r="U11" s="16"/>
      <c r="V11" s="16">
        <v>95</v>
      </c>
      <c r="W11" s="16"/>
      <c r="X11" s="16"/>
      <c r="Y11" s="16"/>
      <c r="Z11" s="16"/>
      <c r="AA11" s="16"/>
      <c r="AB11" s="16"/>
      <c r="AC11" s="16"/>
      <c r="AD11" s="24">
        <f>SUM(N11:AC11)/4</f>
        <v>71.75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99</v>
      </c>
      <c r="O12" s="16"/>
      <c r="P12" s="16"/>
      <c r="Q12" s="16"/>
      <c r="R12" s="16">
        <v>99</v>
      </c>
      <c r="S12" s="16"/>
      <c r="T12" s="16"/>
      <c r="U12" s="16"/>
      <c r="V12" s="16">
        <v>98</v>
      </c>
      <c r="W12" s="16"/>
      <c r="X12" s="16"/>
      <c r="Y12" s="16"/>
      <c r="Z12" s="16"/>
      <c r="AA12" s="16"/>
      <c r="AB12" s="16"/>
      <c r="AC12" s="16"/>
      <c r="AD12" s="24">
        <f>SUM(N12:AC12)/4</f>
        <v>74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98</v>
      </c>
      <c r="O13" s="16"/>
      <c r="P13" s="16"/>
      <c r="Q13" s="16"/>
      <c r="R13" s="16">
        <v>98</v>
      </c>
      <c r="S13" s="16"/>
      <c r="T13" s="16"/>
      <c r="U13" s="16"/>
      <c r="V13" s="16">
        <v>99</v>
      </c>
      <c r="W13" s="16"/>
      <c r="X13" s="16"/>
      <c r="Y13" s="16"/>
      <c r="Z13" s="16"/>
      <c r="AA13" s="16"/>
      <c r="AB13" s="16"/>
      <c r="AC13" s="16"/>
      <c r="AD13" s="24">
        <f>SUM(N13:AC13)/4</f>
        <v>73.75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97</v>
      </c>
      <c r="O14" s="16"/>
      <c r="P14" s="16"/>
      <c r="Q14" s="16"/>
      <c r="R14" s="16">
        <v>100</v>
      </c>
      <c r="S14" s="16"/>
      <c r="T14" s="16"/>
      <c r="U14" s="16"/>
      <c r="V14" s="16">
        <v>100</v>
      </c>
      <c r="W14" s="16"/>
      <c r="X14" s="16"/>
      <c r="Y14" s="16"/>
      <c r="Z14" s="16"/>
      <c r="AA14" s="16"/>
      <c r="AB14" s="16"/>
      <c r="AC14" s="16"/>
      <c r="AD14" s="24">
        <f>SUM(N14:AC14)/4</f>
        <v>74.25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95</v>
      </c>
      <c r="O15" s="16"/>
      <c r="P15" s="16"/>
      <c r="Q15" s="16"/>
      <c r="R15" s="16">
        <v>95</v>
      </c>
      <c r="S15" s="16"/>
      <c r="T15" s="16"/>
      <c r="U15" s="16"/>
      <c r="V15" s="16">
        <v>98</v>
      </c>
      <c r="W15" s="16"/>
      <c r="X15" s="16"/>
      <c r="Y15" s="16"/>
      <c r="Z15" s="16"/>
      <c r="AA15" s="16"/>
      <c r="AB15" s="16"/>
      <c r="AC15" s="16"/>
      <c r="AD15" s="24">
        <f>SUM(N15:AC15)/4</f>
        <v>72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99</v>
      </c>
      <c r="S16" s="16"/>
      <c r="T16" s="16"/>
      <c r="U16" s="16"/>
      <c r="V16" s="16">
        <v>99</v>
      </c>
      <c r="W16" s="16"/>
      <c r="X16" s="16"/>
      <c r="Y16" s="16"/>
      <c r="Z16" s="16"/>
      <c r="AA16" s="16"/>
      <c r="AB16" s="16"/>
      <c r="AC16" s="16"/>
      <c r="AD16" s="24">
        <f>SUM(N16:AC16)/4</f>
        <v>74.25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100</v>
      </c>
      <c r="O17" s="16"/>
      <c r="P17" s="16"/>
      <c r="Q17" s="16"/>
      <c r="R17" s="16">
        <v>98</v>
      </c>
      <c r="S17" s="16"/>
      <c r="T17" s="16"/>
      <c r="U17" s="16"/>
      <c r="V17" s="16">
        <v>99</v>
      </c>
      <c r="W17" s="16"/>
      <c r="X17" s="16"/>
      <c r="Y17" s="16"/>
      <c r="Z17" s="16"/>
      <c r="AA17" s="16"/>
      <c r="AB17" s="16"/>
      <c r="AC17" s="16"/>
      <c r="AD17" s="24">
        <f>SUM(N17:AC17)/4</f>
        <v>74.25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99</v>
      </c>
      <c r="O18" s="22"/>
      <c r="P18" s="22"/>
      <c r="Q18" s="23"/>
      <c r="R18" s="21">
        <v>98</v>
      </c>
      <c r="S18" s="22"/>
      <c r="T18" s="22"/>
      <c r="U18" s="23"/>
      <c r="V18" s="21">
        <v>99</v>
      </c>
      <c r="W18" s="22"/>
      <c r="X18" s="22"/>
      <c r="Y18" s="23"/>
      <c r="Z18" s="21"/>
      <c r="AA18" s="22"/>
      <c r="AB18" s="22"/>
      <c r="AC18" s="23"/>
      <c r="AD18" s="24">
        <f>SUM(N18:AC18)/4</f>
        <v>74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96.95</v>
      </c>
      <c r="O20" s="16"/>
      <c r="P20" s="16"/>
      <c r="Q20" s="16"/>
      <c r="R20" s="16">
        <v>98.2</v>
      </c>
      <c r="S20" s="16"/>
      <c r="T20" s="16"/>
      <c r="U20" s="16"/>
      <c r="V20" s="16">
        <v>97.75</v>
      </c>
      <c r="W20" s="16"/>
      <c r="X20" s="16"/>
      <c r="Y20" s="16"/>
      <c r="Z20" s="16"/>
      <c r="AA20" s="16"/>
      <c r="AB20" s="16"/>
      <c r="AC20" s="16"/>
      <c r="AD20" s="24">
        <f>SUM(N20:AC20)/4</f>
        <v>73.225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96.5</v>
      </c>
      <c r="O21" s="60"/>
      <c r="P21" s="60"/>
      <c r="Q21" s="60"/>
      <c r="R21" s="60">
        <f>SUM(R7:U13,R18)/8</f>
        <v>96.5</v>
      </c>
      <c r="S21" s="60"/>
      <c r="T21" s="60"/>
      <c r="U21" s="60"/>
      <c r="V21" s="60">
        <f>SUM(V7:Y13,V18)/8</f>
        <v>97.25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72.5625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4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4</v>
      </c>
      <c r="S29" s="19"/>
      <c r="T29" s="19">
        <v>4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4</v>
      </c>
      <c r="S31" s="19"/>
      <c r="T31" s="19">
        <v>4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4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4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4</v>
      </c>
      <c r="S34" s="19"/>
      <c r="T34" s="19">
        <v>4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4</v>
      </c>
      <c r="S36" s="19"/>
      <c r="T36" s="19">
        <v>4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3.3333333333333</v>
      </c>
      <c r="S38" s="20"/>
      <c r="T38" s="20">
        <f>SUM(T26:U37)/12</f>
        <v>3.5833333333333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404147190013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94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83</v>
      </c>
      <c r="O7" s="16"/>
      <c r="P7" s="16"/>
      <c r="Q7" s="16"/>
      <c r="R7" s="16">
        <v>85</v>
      </c>
      <c r="S7" s="16"/>
      <c r="T7" s="16"/>
      <c r="U7" s="16"/>
      <c r="V7" s="16">
        <v>79</v>
      </c>
      <c r="W7" s="16"/>
      <c r="X7" s="16"/>
      <c r="Y7" s="16"/>
      <c r="Z7" s="16"/>
      <c r="AA7" s="16"/>
      <c r="AB7" s="16"/>
      <c r="AC7" s="16"/>
      <c r="AD7" s="24">
        <f>SUM(N7:AC7)/4</f>
        <v>61.75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89</v>
      </c>
      <c r="O8" s="16"/>
      <c r="P8" s="16"/>
      <c r="Q8" s="16"/>
      <c r="R8" s="16">
        <v>81</v>
      </c>
      <c r="S8" s="16"/>
      <c r="T8" s="16"/>
      <c r="U8" s="16"/>
      <c r="V8" s="16">
        <v>88</v>
      </c>
      <c r="W8" s="16"/>
      <c r="X8" s="16"/>
      <c r="Y8" s="16"/>
      <c r="Z8" s="16"/>
      <c r="AA8" s="16"/>
      <c r="AB8" s="16"/>
      <c r="AC8" s="16"/>
      <c r="AD8" s="24">
        <f>SUM(N8:AC8)/4</f>
        <v>64.5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81</v>
      </c>
      <c r="O9" s="16"/>
      <c r="P9" s="16"/>
      <c r="Q9" s="16"/>
      <c r="R9" s="16">
        <v>82</v>
      </c>
      <c r="S9" s="16"/>
      <c r="T9" s="16"/>
      <c r="U9" s="16"/>
      <c r="V9" s="16">
        <v>82</v>
      </c>
      <c r="W9" s="16"/>
      <c r="X9" s="16"/>
      <c r="Y9" s="16"/>
      <c r="Z9" s="16"/>
      <c r="AA9" s="16"/>
      <c r="AB9" s="16"/>
      <c r="AC9" s="16"/>
      <c r="AD9" s="24">
        <f>SUM(N9:AC9)/4</f>
        <v>61.25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84</v>
      </c>
      <c r="O10" s="16"/>
      <c r="P10" s="16"/>
      <c r="Q10" s="16"/>
      <c r="R10" s="16">
        <v>87</v>
      </c>
      <c r="S10" s="16"/>
      <c r="T10" s="16"/>
      <c r="U10" s="16"/>
      <c r="V10" s="16">
        <v>80</v>
      </c>
      <c r="W10" s="16"/>
      <c r="X10" s="16"/>
      <c r="Y10" s="16"/>
      <c r="Z10" s="16"/>
      <c r="AA10" s="16"/>
      <c r="AB10" s="16"/>
      <c r="AC10" s="16"/>
      <c r="AD10" s="24">
        <f>SUM(N10:AC10)/4</f>
        <v>62.75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81</v>
      </c>
      <c r="O11" s="16"/>
      <c r="P11" s="16"/>
      <c r="Q11" s="16"/>
      <c r="R11" s="16">
        <v>81</v>
      </c>
      <c r="S11" s="16"/>
      <c r="T11" s="16"/>
      <c r="U11" s="16"/>
      <c r="V11" s="16">
        <v>80</v>
      </c>
      <c r="W11" s="16"/>
      <c r="X11" s="16"/>
      <c r="Y11" s="16"/>
      <c r="Z11" s="16"/>
      <c r="AA11" s="16"/>
      <c r="AB11" s="16"/>
      <c r="AC11" s="16"/>
      <c r="AD11" s="24">
        <f>SUM(N11:AC11)/4</f>
        <v>60.5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92</v>
      </c>
      <c r="O12" s="16"/>
      <c r="P12" s="16"/>
      <c r="Q12" s="16"/>
      <c r="R12" s="16">
        <v>90</v>
      </c>
      <c r="S12" s="16"/>
      <c r="T12" s="16"/>
      <c r="U12" s="16"/>
      <c r="V12" s="16">
        <v>96</v>
      </c>
      <c r="W12" s="16"/>
      <c r="X12" s="16"/>
      <c r="Y12" s="16"/>
      <c r="Z12" s="16"/>
      <c r="AA12" s="16"/>
      <c r="AB12" s="16"/>
      <c r="AC12" s="16"/>
      <c r="AD12" s="24">
        <f>SUM(N12:AC12)/4</f>
        <v>69.5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94</v>
      </c>
      <c r="O13" s="16"/>
      <c r="P13" s="16"/>
      <c r="Q13" s="16"/>
      <c r="R13" s="16">
        <v>92</v>
      </c>
      <c r="S13" s="16"/>
      <c r="T13" s="16"/>
      <c r="U13" s="16"/>
      <c r="V13" s="16">
        <v>93</v>
      </c>
      <c r="W13" s="16"/>
      <c r="X13" s="16"/>
      <c r="Y13" s="16"/>
      <c r="Z13" s="16"/>
      <c r="AA13" s="16"/>
      <c r="AB13" s="16"/>
      <c r="AC13" s="16"/>
      <c r="AD13" s="24">
        <f>SUM(N13:AC13)/4</f>
        <v>69.75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87</v>
      </c>
      <c r="O14" s="16"/>
      <c r="P14" s="16"/>
      <c r="Q14" s="16"/>
      <c r="R14" s="16">
        <v>88</v>
      </c>
      <c r="S14" s="16"/>
      <c r="T14" s="16"/>
      <c r="U14" s="16"/>
      <c r="V14" s="16">
        <v>88</v>
      </c>
      <c r="W14" s="16"/>
      <c r="X14" s="16"/>
      <c r="Y14" s="16"/>
      <c r="Z14" s="16"/>
      <c r="AA14" s="16"/>
      <c r="AB14" s="16"/>
      <c r="AC14" s="16"/>
      <c r="AD14" s="24">
        <f>SUM(N14:AC14)/4</f>
        <v>65.75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91</v>
      </c>
      <c r="O15" s="16"/>
      <c r="P15" s="16"/>
      <c r="Q15" s="16"/>
      <c r="R15" s="16">
        <v>88</v>
      </c>
      <c r="S15" s="16"/>
      <c r="T15" s="16"/>
      <c r="U15" s="16"/>
      <c r="V15" s="16">
        <v>91</v>
      </c>
      <c r="W15" s="16"/>
      <c r="X15" s="16"/>
      <c r="Y15" s="16"/>
      <c r="Z15" s="16"/>
      <c r="AA15" s="16"/>
      <c r="AB15" s="16"/>
      <c r="AC15" s="16"/>
      <c r="AD15" s="24">
        <f>SUM(N15:AC15)/4</f>
        <v>67.5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98</v>
      </c>
      <c r="O16" s="16"/>
      <c r="P16" s="16"/>
      <c r="Q16" s="16"/>
      <c r="R16" s="16">
        <v>98</v>
      </c>
      <c r="S16" s="16"/>
      <c r="T16" s="16"/>
      <c r="U16" s="16"/>
      <c r="V16" s="16">
        <v>98</v>
      </c>
      <c r="W16" s="16"/>
      <c r="X16" s="16"/>
      <c r="Y16" s="16"/>
      <c r="Z16" s="16"/>
      <c r="AA16" s="16"/>
      <c r="AB16" s="16"/>
      <c r="AC16" s="16"/>
      <c r="AD16" s="24">
        <f>SUM(N16:AC16)/4</f>
        <v>73.5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98</v>
      </c>
      <c r="O17" s="16"/>
      <c r="P17" s="16"/>
      <c r="Q17" s="16"/>
      <c r="R17" s="16">
        <v>95</v>
      </c>
      <c r="S17" s="16"/>
      <c r="T17" s="16"/>
      <c r="U17" s="16"/>
      <c r="V17" s="16">
        <v>95</v>
      </c>
      <c r="W17" s="16"/>
      <c r="X17" s="16"/>
      <c r="Y17" s="16"/>
      <c r="Z17" s="16"/>
      <c r="AA17" s="16"/>
      <c r="AB17" s="16"/>
      <c r="AC17" s="16"/>
      <c r="AD17" s="24">
        <f>SUM(N17:AC17)/4</f>
        <v>72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90</v>
      </c>
      <c r="O18" s="22"/>
      <c r="P18" s="22"/>
      <c r="Q18" s="23"/>
      <c r="R18" s="21">
        <v>83</v>
      </c>
      <c r="S18" s="22"/>
      <c r="T18" s="22"/>
      <c r="U18" s="23"/>
      <c r="V18" s="21">
        <v>87</v>
      </c>
      <c r="W18" s="22"/>
      <c r="X18" s="22"/>
      <c r="Y18" s="23"/>
      <c r="Z18" s="21"/>
      <c r="AA18" s="22"/>
      <c r="AB18" s="22"/>
      <c r="AC18" s="23"/>
      <c r="AD18" s="24">
        <f>SUM(N18:AC18)/4</f>
        <v>65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82.15</v>
      </c>
      <c r="O20" s="16"/>
      <c r="P20" s="16"/>
      <c r="Q20" s="16"/>
      <c r="R20" s="16">
        <v>79.1</v>
      </c>
      <c r="S20" s="16"/>
      <c r="T20" s="16"/>
      <c r="U20" s="16"/>
      <c r="V20" s="16">
        <v>75.05</v>
      </c>
      <c r="W20" s="16"/>
      <c r="X20" s="16"/>
      <c r="Y20" s="16"/>
      <c r="Z20" s="16"/>
      <c r="AA20" s="16"/>
      <c r="AB20" s="16"/>
      <c r="AC20" s="16"/>
      <c r="AD20" s="24">
        <f>SUM(N20:AC20)/4</f>
        <v>59.075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86.75</v>
      </c>
      <c r="O21" s="60"/>
      <c r="P21" s="60"/>
      <c r="Q21" s="60"/>
      <c r="R21" s="60">
        <f>SUM(R7:U13,R18)/8</f>
        <v>85.125</v>
      </c>
      <c r="S21" s="60"/>
      <c r="T21" s="60"/>
      <c r="U21" s="60"/>
      <c r="V21" s="60">
        <f>SUM(V7:Y13,V18)/8</f>
        <v>85.625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64.375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2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2</v>
      </c>
      <c r="S27" s="19"/>
      <c r="T27" s="19">
        <v>2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2</v>
      </c>
      <c r="Q32" s="19"/>
      <c r="R32" s="19">
        <v>2</v>
      </c>
      <c r="S32" s="19"/>
      <c r="T32" s="19">
        <v>2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2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2.9166666666667</v>
      </c>
      <c r="Q38" s="20"/>
      <c r="R38" s="20">
        <f>SUM(R26:S37)/12</f>
        <v>2.75</v>
      </c>
      <c r="S38" s="20"/>
      <c r="T38" s="20">
        <f>SUM(T26:U37)/12</f>
        <v>2.75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404147190062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95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89</v>
      </c>
      <c r="O7" s="16"/>
      <c r="P7" s="16"/>
      <c r="Q7" s="16"/>
      <c r="R7" s="16">
        <v>90</v>
      </c>
      <c r="S7" s="16"/>
      <c r="T7" s="16"/>
      <c r="U7" s="16"/>
      <c r="V7" s="16">
        <v>89</v>
      </c>
      <c r="W7" s="16"/>
      <c r="X7" s="16"/>
      <c r="Y7" s="16"/>
      <c r="Z7" s="16"/>
      <c r="AA7" s="16"/>
      <c r="AB7" s="16"/>
      <c r="AC7" s="16"/>
      <c r="AD7" s="24">
        <f>SUM(N7:AC7)/4</f>
        <v>67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95</v>
      </c>
      <c r="O8" s="16"/>
      <c r="P8" s="16"/>
      <c r="Q8" s="16"/>
      <c r="R8" s="16">
        <v>86</v>
      </c>
      <c r="S8" s="16"/>
      <c r="T8" s="16"/>
      <c r="U8" s="16"/>
      <c r="V8" s="16">
        <v>96</v>
      </c>
      <c r="W8" s="16"/>
      <c r="X8" s="16"/>
      <c r="Y8" s="16"/>
      <c r="Z8" s="16"/>
      <c r="AA8" s="16"/>
      <c r="AB8" s="16"/>
      <c r="AC8" s="16"/>
      <c r="AD8" s="24">
        <f>SUM(N8:AC8)/4</f>
        <v>69.25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97</v>
      </c>
      <c r="O9" s="16"/>
      <c r="P9" s="16"/>
      <c r="Q9" s="16"/>
      <c r="R9" s="16">
        <v>97</v>
      </c>
      <c r="S9" s="16"/>
      <c r="T9" s="16"/>
      <c r="U9" s="16"/>
      <c r="V9" s="16">
        <v>97</v>
      </c>
      <c r="W9" s="16"/>
      <c r="X9" s="16"/>
      <c r="Y9" s="16"/>
      <c r="Z9" s="16"/>
      <c r="AA9" s="16"/>
      <c r="AB9" s="16"/>
      <c r="AC9" s="16"/>
      <c r="AD9" s="24">
        <f>SUM(N9:AC9)/4</f>
        <v>72.75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89</v>
      </c>
      <c r="O10" s="16"/>
      <c r="P10" s="16"/>
      <c r="Q10" s="16"/>
      <c r="R10" s="16">
        <v>94</v>
      </c>
      <c r="S10" s="16"/>
      <c r="T10" s="16"/>
      <c r="U10" s="16"/>
      <c r="V10" s="16">
        <v>95</v>
      </c>
      <c r="W10" s="16"/>
      <c r="X10" s="16"/>
      <c r="Y10" s="16"/>
      <c r="Z10" s="16"/>
      <c r="AA10" s="16"/>
      <c r="AB10" s="16"/>
      <c r="AC10" s="16"/>
      <c r="AD10" s="24">
        <f>SUM(N10:AC10)/4</f>
        <v>69.5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86</v>
      </c>
      <c r="O11" s="16"/>
      <c r="P11" s="16"/>
      <c r="Q11" s="16"/>
      <c r="R11" s="16">
        <v>94</v>
      </c>
      <c r="S11" s="16"/>
      <c r="T11" s="16"/>
      <c r="U11" s="16"/>
      <c r="V11" s="16">
        <v>93</v>
      </c>
      <c r="W11" s="16"/>
      <c r="X11" s="16"/>
      <c r="Y11" s="16"/>
      <c r="Z11" s="16"/>
      <c r="AA11" s="16"/>
      <c r="AB11" s="16"/>
      <c r="AC11" s="16"/>
      <c r="AD11" s="24">
        <f>SUM(N11:AC11)/4</f>
        <v>68.25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95</v>
      </c>
      <c r="O12" s="16"/>
      <c r="P12" s="16"/>
      <c r="Q12" s="16"/>
      <c r="R12" s="16">
        <v>93</v>
      </c>
      <c r="S12" s="16"/>
      <c r="T12" s="16"/>
      <c r="U12" s="16"/>
      <c r="V12" s="16">
        <v>97</v>
      </c>
      <c r="W12" s="16"/>
      <c r="X12" s="16"/>
      <c r="Y12" s="16"/>
      <c r="Z12" s="16"/>
      <c r="AA12" s="16"/>
      <c r="AB12" s="16"/>
      <c r="AC12" s="16"/>
      <c r="AD12" s="24">
        <f>SUM(N12:AC12)/4</f>
        <v>71.25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96</v>
      </c>
      <c r="O13" s="16"/>
      <c r="P13" s="16"/>
      <c r="Q13" s="16"/>
      <c r="R13" s="16">
        <v>96</v>
      </c>
      <c r="S13" s="16"/>
      <c r="T13" s="16"/>
      <c r="U13" s="16"/>
      <c r="V13" s="16">
        <v>97</v>
      </c>
      <c r="W13" s="16"/>
      <c r="X13" s="16"/>
      <c r="Y13" s="16"/>
      <c r="Z13" s="16"/>
      <c r="AA13" s="16"/>
      <c r="AB13" s="16"/>
      <c r="AC13" s="16"/>
      <c r="AD13" s="24">
        <f>SUM(N13:AC13)/4</f>
        <v>72.25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97</v>
      </c>
      <c r="O14" s="16"/>
      <c r="P14" s="16"/>
      <c r="Q14" s="16"/>
      <c r="R14" s="16">
        <v>96</v>
      </c>
      <c r="S14" s="16"/>
      <c r="T14" s="16"/>
      <c r="U14" s="16"/>
      <c r="V14" s="16">
        <v>97</v>
      </c>
      <c r="W14" s="16"/>
      <c r="X14" s="16"/>
      <c r="Y14" s="16"/>
      <c r="Z14" s="16"/>
      <c r="AA14" s="16"/>
      <c r="AB14" s="16"/>
      <c r="AC14" s="16"/>
      <c r="AD14" s="24">
        <f>SUM(N14:AC14)/4</f>
        <v>72.5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92</v>
      </c>
      <c r="O15" s="16"/>
      <c r="P15" s="16"/>
      <c r="Q15" s="16"/>
      <c r="R15" s="16">
        <v>91</v>
      </c>
      <c r="S15" s="16"/>
      <c r="T15" s="16"/>
      <c r="U15" s="16"/>
      <c r="V15" s="16">
        <v>93</v>
      </c>
      <c r="W15" s="16"/>
      <c r="X15" s="16"/>
      <c r="Y15" s="16"/>
      <c r="Z15" s="16"/>
      <c r="AA15" s="16"/>
      <c r="AB15" s="16"/>
      <c r="AC15" s="16"/>
      <c r="AD15" s="24">
        <f>SUM(N15:AC15)/4</f>
        <v>69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100</v>
      </c>
      <c r="S16" s="16"/>
      <c r="T16" s="16"/>
      <c r="U16" s="16"/>
      <c r="V16" s="16">
        <v>98</v>
      </c>
      <c r="W16" s="16"/>
      <c r="X16" s="16"/>
      <c r="Y16" s="16"/>
      <c r="Z16" s="16"/>
      <c r="AA16" s="16"/>
      <c r="AB16" s="16"/>
      <c r="AC16" s="16"/>
      <c r="AD16" s="24">
        <f>SUM(N16:AC16)/4</f>
        <v>74.25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96</v>
      </c>
      <c r="O17" s="16"/>
      <c r="P17" s="16"/>
      <c r="Q17" s="16"/>
      <c r="R17" s="16">
        <v>98</v>
      </c>
      <c r="S17" s="16"/>
      <c r="T17" s="16"/>
      <c r="U17" s="16"/>
      <c r="V17" s="16">
        <v>100</v>
      </c>
      <c r="W17" s="16"/>
      <c r="X17" s="16"/>
      <c r="Y17" s="16"/>
      <c r="Z17" s="16"/>
      <c r="AA17" s="16"/>
      <c r="AB17" s="16"/>
      <c r="AC17" s="16"/>
      <c r="AD17" s="24">
        <f>SUM(N17:AC17)/4</f>
        <v>73.5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96</v>
      </c>
      <c r="O18" s="22"/>
      <c r="P18" s="22"/>
      <c r="Q18" s="23"/>
      <c r="R18" s="21">
        <v>96</v>
      </c>
      <c r="S18" s="22"/>
      <c r="T18" s="22"/>
      <c r="U18" s="23"/>
      <c r="V18" s="21">
        <v>97</v>
      </c>
      <c r="W18" s="22"/>
      <c r="X18" s="22"/>
      <c r="Y18" s="23"/>
      <c r="Z18" s="21"/>
      <c r="AA18" s="22"/>
      <c r="AB18" s="22"/>
      <c r="AC18" s="23"/>
      <c r="AD18" s="24">
        <f>SUM(N18:AC18)/4</f>
        <v>72.25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93.95</v>
      </c>
      <c r="O20" s="16"/>
      <c r="P20" s="16"/>
      <c r="Q20" s="16"/>
      <c r="R20" s="16">
        <v>93.1</v>
      </c>
      <c r="S20" s="16"/>
      <c r="T20" s="16"/>
      <c r="U20" s="16"/>
      <c r="V20" s="16">
        <v>97.7</v>
      </c>
      <c r="W20" s="16"/>
      <c r="X20" s="16"/>
      <c r="Y20" s="16"/>
      <c r="Z20" s="16"/>
      <c r="AA20" s="16"/>
      <c r="AB20" s="16"/>
      <c r="AC20" s="16"/>
      <c r="AD20" s="24">
        <f>SUM(N20:AC20)/4</f>
        <v>71.1875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92.875</v>
      </c>
      <c r="O21" s="60"/>
      <c r="P21" s="60"/>
      <c r="Q21" s="60"/>
      <c r="R21" s="60">
        <f>SUM(R7:U13,R18)/8</f>
        <v>93.25</v>
      </c>
      <c r="S21" s="60"/>
      <c r="T21" s="60"/>
      <c r="U21" s="60"/>
      <c r="V21" s="60">
        <f>SUM(V7:Y13,V18)/8</f>
        <v>95.125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70.3125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4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3.0833333333333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404147190063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96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83</v>
      </c>
      <c r="O7" s="16"/>
      <c r="P7" s="16"/>
      <c r="Q7" s="16"/>
      <c r="R7" s="16">
        <v>89</v>
      </c>
      <c r="S7" s="16"/>
      <c r="T7" s="16"/>
      <c r="U7" s="16"/>
      <c r="V7" s="16">
        <v>87</v>
      </c>
      <c r="W7" s="16"/>
      <c r="X7" s="16"/>
      <c r="Y7" s="16"/>
      <c r="Z7" s="16"/>
      <c r="AA7" s="16"/>
      <c r="AB7" s="16"/>
      <c r="AC7" s="16"/>
      <c r="AD7" s="24">
        <f>SUM(N7:AC7)/4</f>
        <v>64.75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92</v>
      </c>
      <c r="O8" s="16"/>
      <c r="P8" s="16"/>
      <c r="Q8" s="16"/>
      <c r="R8" s="16">
        <v>89</v>
      </c>
      <c r="S8" s="16"/>
      <c r="T8" s="16"/>
      <c r="U8" s="16"/>
      <c r="V8" s="16">
        <v>95</v>
      </c>
      <c r="W8" s="16"/>
      <c r="X8" s="16"/>
      <c r="Y8" s="16"/>
      <c r="Z8" s="16"/>
      <c r="AA8" s="16"/>
      <c r="AB8" s="16"/>
      <c r="AC8" s="16"/>
      <c r="AD8" s="24">
        <f>SUM(N8:AC8)/4</f>
        <v>69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83</v>
      </c>
      <c r="O9" s="16"/>
      <c r="P9" s="16"/>
      <c r="Q9" s="16"/>
      <c r="R9" s="16">
        <v>84</v>
      </c>
      <c r="S9" s="16"/>
      <c r="T9" s="16"/>
      <c r="U9" s="16"/>
      <c r="V9" s="16">
        <v>84</v>
      </c>
      <c r="W9" s="16"/>
      <c r="X9" s="16"/>
      <c r="Y9" s="16"/>
      <c r="Z9" s="16"/>
      <c r="AA9" s="16"/>
      <c r="AB9" s="16"/>
      <c r="AC9" s="16"/>
      <c r="AD9" s="24">
        <f>SUM(N9:AC9)/4</f>
        <v>62.75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85</v>
      </c>
      <c r="O10" s="16"/>
      <c r="P10" s="16"/>
      <c r="Q10" s="16"/>
      <c r="R10" s="16">
        <v>94</v>
      </c>
      <c r="S10" s="16"/>
      <c r="T10" s="16"/>
      <c r="U10" s="16"/>
      <c r="V10" s="16">
        <v>86</v>
      </c>
      <c r="W10" s="16"/>
      <c r="X10" s="16"/>
      <c r="Y10" s="16"/>
      <c r="Z10" s="16"/>
      <c r="AA10" s="16"/>
      <c r="AB10" s="16"/>
      <c r="AC10" s="16"/>
      <c r="AD10" s="24">
        <f>SUM(N10:AC10)/4</f>
        <v>66.25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85</v>
      </c>
      <c r="O11" s="16"/>
      <c r="P11" s="16"/>
      <c r="Q11" s="16"/>
      <c r="R11" s="16">
        <v>91</v>
      </c>
      <c r="S11" s="16"/>
      <c r="T11" s="16"/>
      <c r="U11" s="16"/>
      <c r="V11" s="16">
        <v>90</v>
      </c>
      <c r="W11" s="16"/>
      <c r="X11" s="16"/>
      <c r="Y11" s="16"/>
      <c r="Z11" s="16"/>
      <c r="AA11" s="16"/>
      <c r="AB11" s="16"/>
      <c r="AC11" s="16"/>
      <c r="AD11" s="24">
        <f>SUM(N11:AC11)/4</f>
        <v>66.5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96</v>
      </c>
      <c r="O12" s="16"/>
      <c r="P12" s="16"/>
      <c r="Q12" s="16"/>
      <c r="R12" s="16">
        <v>91</v>
      </c>
      <c r="S12" s="16"/>
      <c r="T12" s="16"/>
      <c r="U12" s="16"/>
      <c r="V12" s="16">
        <v>97</v>
      </c>
      <c r="W12" s="16"/>
      <c r="X12" s="16"/>
      <c r="Y12" s="16"/>
      <c r="Z12" s="16"/>
      <c r="AA12" s="16"/>
      <c r="AB12" s="16"/>
      <c r="AC12" s="16"/>
      <c r="AD12" s="24">
        <f>SUM(N12:AC12)/4</f>
        <v>71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95</v>
      </c>
      <c r="O13" s="16"/>
      <c r="P13" s="16"/>
      <c r="Q13" s="16"/>
      <c r="R13" s="16">
        <v>97</v>
      </c>
      <c r="S13" s="16"/>
      <c r="T13" s="16"/>
      <c r="U13" s="16"/>
      <c r="V13" s="16">
        <v>96</v>
      </c>
      <c r="W13" s="16"/>
      <c r="X13" s="16"/>
      <c r="Y13" s="16"/>
      <c r="Z13" s="16"/>
      <c r="AA13" s="16"/>
      <c r="AB13" s="16"/>
      <c r="AC13" s="16"/>
      <c r="AD13" s="24">
        <f>SUM(N13:AC13)/4</f>
        <v>72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94</v>
      </c>
      <c r="O14" s="16"/>
      <c r="P14" s="16"/>
      <c r="Q14" s="16"/>
      <c r="R14" s="16">
        <v>96</v>
      </c>
      <c r="S14" s="16"/>
      <c r="T14" s="16"/>
      <c r="U14" s="16"/>
      <c r="V14" s="16">
        <v>96</v>
      </c>
      <c r="W14" s="16"/>
      <c r="X14" s="16"/>
      <c r="Y14" s="16"/>
      <c r="Z14" s="16"/>
      <c r="AA14" s="16"/>
      <c r="AB14" s="16"/>
      <c r="AC14" s="16"/>
      <c r="AD14" s="24">
        <f>SUM(N14:AC14)/4</f>
        <v>71.5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92</v>
      </c>
      <c r="O15" s="16"/>
      <c r="P15" s="16"/>
      <c r="Q15" s="16"/>
      <c r="R15" s="16">
        <v>92</v>
      </c>
      <c r="S15" s="16"/>
      <c r="T15" s="16"/>
      <c r="U15" s="16"/>
      <c r="V15" s="16">
        <v>91</v>
      </c>
      <c r="W15" s="16"/>
      <c r="X15" s="16"/>
      <c r="Y15" s="16"/>
      <c r="Z15" s="16"/>
      <c r="AA15" s="16"/>
      <c r="AB15" s="16"/>
      <c r="AC15" s="16"/>
      <c r="AD15" s="24">
        <f>SUM(N15:AC15)/4</f>
        <v>68.75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100</v>
      </c>
      <c r="S16" s="16"/>
      <c r="T16" s="16"/>
      <c r="U16" s="16"/>
      <c r="V16" s="16">
        <v>99</v>
      </c>
      <c r="W16" s="16"/>
      <c r="X16" s="16"/>
      <c r="Y16" s="16"/>
      <c r="Z16" s="16"/>
      <c r="AA16" s="16"/>
      <c r="AB16" s="16"/>
      <c r="AC16" s="16"/>
      <c r="AD16" s="24">
        <f>SUM(N16:AC16)/4</f>
        <v>74.5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96</v>
      </c>
      <c r="O17" s="16"/>
      <c r="P17" s="16"/>
      <c r="Q17" s="16"/>
      <c r="R17" s="16">
        <v>99</v>
      </c>
      <c r="S17" s="16"/>
      <c r="T17" s="16"/>
      <c r="U17" s="16"/>
      <c r="V17" s="16">
        <v>99</v>
      </c>
      <c r="W17" s="16"/>
      <c r="X17" s="16"/>
      <c r="Y17" s="16"/>
      <c r="Z17" s="16"/>
      <c r="AA17" s="16"/>
      <c r="AB17" s="16"/>
      <c r="AC17" s="16"/>
      <c r="AD17" s="24">
        <f>SUM(N17:AC17)/4</f>
        <v>73.5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97</v>
      </c>
      <c r="O18" s="22"/>
      <c r="P18" s="22"/>
      <c r="Q18" s="23"/>
      <c r="R18" s="21">
        <v>95</v>
      </c>
      <c r="S18" s="22"/>
      <c r="T18" s="22"/>
      <c r="U18" s="23"/>
      <c r="V18" s="21">
        <v>97</v>
      </c>
      <c r="W18" s="22"/>
      <c r="X18" s="22"/>
      <c r="Y18" s="23"/>
      <c r="Z18" s="21"/>
      <c r="AA18" s="22"/>
      <c r="AB18" s="22"/>
      <c r="AC18" s="23"/>
      <c r="AD18" s="24">
        <f>SUM(N18:AC18)/4</f>
        <v>72.25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90.75</v>
      </c>
      <c r="O20" s="16"/>
      <c r="P20" s="16"/>
      <c r="Q20" s="16"/>
      <c r="R20" s="16">
        <v>85.3</v>
      </c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24">
        <f>SUM(N20:AC20)/4</f>
        <v>44.0125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89.5</v>
      </c>
      <c r="O21" s="60"/>
      <c r="P21" s="60"/>
      <c r="Q21" s="60"/>
      <c r="R21" s="60">
        <f>SUM(R7:U13,R18)/8</f>
        <v>91.25</v>
      </c>
      <c r="S21" s="60"/>
      <c r="T21" s="60"/>
      <c r="U21" s="60"/>
      <c r="V21" s="60">
        <f>SUM(V7:Y13,V18)/8</f>
        <v>91.5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68.0625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4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3.0833333333333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404147190019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97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82</v>
      </c>
      <c r="O7" s="16"/>
      <c r="P7" s="16"/>
      <c r="Q7" s="16"/>
      <c r="R7" s="16">
        <v>85</v>
      </c>
      <c r="S7" s="16"/>
      <c r="T7" s="16"/>
      <c r="U7" s="16"/>
      <c r="V7" s="16">
        <v>85</v>
      </c>
      <c r="W7" s="16"/>
      <c r="X7" s="16"/>
      <c r="Y7" s="16"/>
      <c r="Z7" s="16"/>
      <c r="AA7" s="16"/>
      <c r="AB7" s="16"/>
      <c r="AC7" s="16"/>
      <c r="AD7" s="24">
        <f>SUM(N7:AC7)/4</f>
        <v>63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90</v>
      </c>
      <c r="O8" s="16"/>
      <c r="P8" s="16"/>
      <c r="Q8" s="16"/>
      <c r="R8" s="16">
        <v>85</v>
      </c>
      <c r="S8" s="16"/>
      <c r="T8" s="16"/>
      <c r="U8" s="16"/>
      <c r="V8" s="16">
        <v>94</v>
      </c>
      <c r="W8" s="16"/>
      <c r="X8" s="16"/>
      <c r="Y8" s="16"/>
      <c r="Z8" s="16"/>
      <c r="AA8" s="16"/>
      <c r="AB8" s="16"/>
      <c r="AC8" s="16"/>
      <c r="AD8" s="24">
        <f>SUM(N8:AC8)/4</f>
        <v>67.25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80</v>
      </c>
      <c r="O9" s="16"/>
      <c r="P9" s="16"/>
      <c r="Q9" s="16"/>
      <c r="R9" s="16">
        <v>89</v>
      </c>
      <c r="S9" s="16"/>
      <c r="T9" s="16"/>
      <c r="U9" s="16"/>
      <c r="V9" s="16">
        <v>93</v>
      </c>
      <c r="W9" s="16"/>
      <c r="X9" s="16"/>
      <c r="Y9" s="16"/>
      <c r="Z9" s="16"/>
      <c r="AA9" s="16"/>
      <c r="AB9" s="16"/>
      <c r="AC9" s="16"/>
      <c r="AD9" s="24">
        <f>SUM(N9:AC9)/4</f>
        <v>65.5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80</v>
      </c>
      <c r="O10" s="16"/>
      <c r="P10" s="16"/>
      <c r="Q10" s="16"/>
      <c r="R10" s="16">
        <v>92</v>
      </c>
      <c r="S10" s="16"/>
      <c r="T10" s="16"/>
      <c r="U10" s="16"/>
      <c r="V10" s="16">
        <v>89</v>
      </c>
      <c r="W10" s="16"/>
      <c r="X10" s="16"/>
      <c r="Y10" s="16"/>
      <c r="Z10" s="16"/>
      <c r="AA10" s="16"/>
      <c r="AB10" s="16"/>
      <c r="AC10" s="16"/>
      <c r="AD10" s="24">
        <f>SUM(N10:AC10)/4</f>
        <v>65.25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82</v>
      </c>
      <c r="O11" s="16"/>
      <c r="P11" s="16"/>
      <c r="Q11" s="16"/>
      <c r="R11" s="16">
        <v>85</v>
      </c>
      <c r="S11" s="16"/>
      <c r="T11" s="16"/>
      <c r="U11" s="16"/>
      <c r="V11" s="16">
        <v>91</v>
      </c>
      <c r="W11" s="16"/>
      <c r="X11" s="16"/>
      <c r="Y11" s="16"/>
      <c r="Z11" s="16"/>
      <c r="AA11" s="16"/>
      <c r="AB11" s="16"/>
      <c r="AC11" s="16"/>
      <c r="AD11" s="24">
        <f>SUM(N11:AC11)/4</f>
        <v>64.5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94</v>
      </c>
      <c r="O12" s="16"/>
      <c r="P12" s="16"/>
      <c r="Q12" s="16"/>
      <c r="R12" s="16">
        <v>94</v>
      </c>
      <c r="S12" s="16"/>
      <c r="T12" s="16"/>
      <c r="U12" s="16"/>
      <c r="V12" s="16">
        <v>98</v>
      </c>
      <c r="W12" s="16"/>
      <c r="X12" s="16"/>
      <c r="Y12" s="16"/>
      <c r="Z12" s="16"/>
      <c r="AA12" s="16"/>
      <c r="AB12" s="16"/>
      <c r="AC12" s="16"/>
      <c r="AD12" s="24">
        <f>SUM(N12:AC12)/4</f>
        <v>71.5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94</v>
      </c>
      <c r="O13" s="16"/>
      <c r="P13" s="16"/>
      <c r="Q13" s="16"/>
      <c r="R13" s="16">
        <v>93</v>
      </c>
      <c r="S13" s="16"/>
      <c r="T13" s="16"/>
      <c r="U13" s="16"/>
      <c r="V13" s="16">
        <v>96</v>
      </c>
      <c r="W13" s="16"/>
      <c r="X13" s="16"/>
      <c r="Y13" s="16"/>
      <c r="Z13" s="16"/>
      <c r="AA13" s="16"/>
      <c r="AB13" s="16"/>
      <c r="AC13" s="16"/>
      <c r="AD13" s="24">
        <f>SUM(N13:AC13)/4</f>
        <v>70.75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95</v>
      </c>
      <c r="O14" s="16"/>
      <c r="P14" s="16"/>
      <c r="Q14" s="16"/>
      <c r="R14" s="16">
        <v>90</v>
      </c>
      <c r="S14" s="16"/>
      <c r="T14" s="16"/>
      <c r="U14" s="16"/>
      <c r="V14" s="16">
        <v>94</v>
      </c>
      <c r="W14" s="16"/>
      <c r="X14" s="16"/>
      <c r="Y14" s="16"/>
      <c r="Z14" s="16"/>
      <c r="AA14" s="16"/>
      <c r="AB14" s="16"/>
      <c r="AC14" s="16"/>
      <c r="AD14" s="24">
        <f>SUM(N14:AC14)/4</f>
        <v>69.75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91</v>
      </c>
      <c r="O15" s="16"/>
      <c r="P15" s="16"/>
      <c r="Q15" s="16"/>
      <c r="R15" s="16">
        <v>88</v>
      </c>
      <c r="S15" s="16"/>
      <c r="T15" s="16"/>
      <c r="U15" s="16"/>
      <c r="V15" s="16">
        <v>95</v>
      </c>
      <c r="W15" s="16"/>
      <c r="X15" s="16"/>
      <c r="Y15" s="16"/>
      <c r="Z15" s="16"/>
      <c r="AA15" s="16"/>
      <c r="AB15" s="16"/>
      <c r="AC15" s="16"/>
      <c r="AD15" s="24">
        <f>SUM(N15:AC15)/4</f>
        <v>68.5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100</v>
      </c>
      <c r="S16" s="16"/>
      <c r="T16" s="16"/>
      <c r="U16" s="16"/>
      <c r="V16" s="16">
        <v>99</v>
      </c>
      <c r="W16" s="16"/>
      <c r="X16" s="16"/>
      <c r="Y16" s="16"/>
      <c r="Z16" s="16"/>
      <c r="AA16" s="16"/>
      <c r="AB16" s="16"/>
      <c r="AC16" s="16"/>
      <c r="AD16" s="24">
        <f>SUM(N16:AC16)/4</f>
        <v>74.5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90</v>
      </c>
      <c r="O17" s="16"/>
      <c r="P17" s="16"/>
      <c r="Q17" s="16"/>
      <c r="R17" s="16">
        <v>93</v>
      </c>
      <c r="S17" s="16"/>
      <c r="T17" s="16"/>
      <c r="U17" s="16"/>
      <c r="V17" s="16">
        <v>96</v>
      </c>
      <c r="W17" s="16"/>
      <c r="X17" s="16"/>
      <c r="Y17" s="16"/>
      <c r="Z17" s="16"/>
      <c r="AA17" s="16"/>
      <c r="AB17" s="16"/>
      <c r="AC17" s="16"/>
      <c r="AD17" s="24">
        <f>SUM(N17:AC17)/4</f>
        <v>69.75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93</v>
      </c>
      <c r="O18" s="22"/>
      <c r="P18" s="22"/>
      <c r="Q18" s="23"/>
      <c r="R18" s="21">
        <v>93</v>
      </c>
      <c r="S18" s="22"/>
      <c r="T18" s="22"/>
      <c r="U18" s="23"/>
      <c r="V18" s="21">
        <v>95</v>
      </c>
      <c r="W18" s="22"/>
      <c r="X18" s="22"/>
      <c r="Y18" s="23"/>
      <c r="Z18" s="21"/>
      <c r="AA18" s="22"/>
      <c r="AB18" s="22"/>
      <c r="AC18" s="23"/>
      <c r="AD18" s="24">
        <f>SUM(N18:AC18)/4</f>
        <v>70.25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93.05</v>
      </c>
      <c r="O20" s="16"/>
      <c r="P20" s="16"/>
      <c r="Q20" s="16"/>
      <c r="R20" s="16">
        <v>93.2</v>
      </c>
      <c r="S20" s="16"/>
      <c r="T20" s="16"/>
      <c r="U20" s="16"/>
      <c r="V20" s="16">
        <v>92.2</v>
      </c>
      <c r="W20" s="16"/>
      <c r="X20" s="16"/>
      <c r="Y20" s="16"/>
      <c r="Z20" s="16"/>
      <c r="AA20" s="16"/>
      <c r="AB20" s="16"/>
      <c r="AC20" s="16"/>
      <c r="AD20" s="24">
        <f>SUM(N20:AC20)/4</f>
        <v>69.6125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86.875</v>
      </c>
      <c r="O21" s="60"/>
      <c r="P21" s="60"/>
      <c r="Q21" s="60"/>
      <c r="R21" s="60">
        <f>SUM(R7:U13,R18)/8</f>
        <v>89.5</v>
      </c>
      <c r="S21" s="60"/>
      <c r="T21" s="60"/>
      <c r="U21" s="60"/>
      <c r="V21" s="60">
        <f>SUM(V7:Y13,V18)/8</f>
        <v>92.625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67.25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4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3.0833333333333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404141190005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98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82</v>
      </c>
      <c r="O7" s="16"/>
      <c r="P7" s="16"/>
      <c r="Q7" s="16"/>
      <c r="R7" s="16">
        <v>91</v>
      </c>
      <c r="S7" s="16"/>
      <c r="T7" s="16"/>
      <c r="U7" s="16"/>
      <c r="V7" s="16">
        <v>87</v>
      </c>
      <c r="W7" s="16"/>
      <c r="X7" s="16"/>
      <c r="Y7" s="16"/>
      <c r="Z7" s="16"/>
      <c r="AA7" s="16"/>
      <c r="AB7" s="16"/>
      <c r="AC7" s="16"/>
      <c r="AD7" s="24">
        <f>SUM(N7:AC7)/4</f>
        <v>65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84</v>
      </c>
      <c r="O8" s="16"/>
      <c r="P8" s="16"/>
      <c r="Q8" s="16"/>
      <c r="R8" s="16">
        <v>82</v>
      </c>
      <c r="S8" s="16"/>
      <c r="T8" s="16"/>
      <c r="U8" s="16"/>
      <c r="V8" s="16">
        <v>88</v>
      </c>
      <c r="W8" s="16"/>
      <c r="X8" s="16"/>
      <c r="Y8" s="16"/>
      <c r="Z8" s="16"/>
      <c r="AA8" s="16"/>
      <c r="AB8" s="16"/>
      <c r="AC8" s="16"/>
      <c r="AD8" s="24">
        <f>SUM(N8:AC8)/4</f>
        <v>63.5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84</v>
      </c>
      <c r="O9" s="16"/>
      <c r="P9" s="16"/>
      <c r="Q9" s="16"/>
      <c r="R9" s="16">
        <v>83</v>
      </c>
      <c r="S9" s="16"/>
      <c r="T9" s="16"/>
      <c r="U9" s="16"/>
      <c r="V9" s="16">
        <v>82</v>
      </c>
      <c r="W9" s="16"/>
      <c r="X9" s="16"/>
      <c r="Y9" s="16"/>
      <c r="Z9" s="16"/>
      <c r="AA9" s="16"/>
      <c r="AB9" s="16"/>
      <c r="AC9" s="16"/>
      <c r="AD9" s="24">
        <f>SUM(N9:AC9)/4</f>
        <v>62.25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79</v>
      </c>
      <c r="O10" s="16"/>
      <c r="P10" s="16"/>
      <c r="Q10" s="16"/>
      <c r="R10" s="16">
        <v>86</v>
      </c>
      <c r="S10" s="16"/>
      <c r="T10" s="16"/>
      <c r="U10" s="16"/>
      <c r="V10" s="16">
        <v>86</v>
      </c>
      <c r="W10" s="16"/>
      <c r="X10" s="16"/>
      <c r="Y10" s="16"/>
      <c r="Z10" s="16"/>
      <c r="AA10" s="16"/>
      <c r="AB10" s="16"/>
      <c r="AC10" s="16"/>
      <c r="AD10" s="24">
        <f>SUM(N10:AC10)/4</f>
        <v>62.75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78</v>
      </c>
      <c r="O11" s="16"/>
      <c r="P11" s="16"/>
      <c r="Q11" s="16"/>
      <c r="R11" s="16">
        <v>82</v>
      </c>
      <c r="S11" s="16"/>
      <c r="T11" s="16"/>
      <c r="U11" s="16"/>
      <c r="V11" s="16">
        <v>83</v>
      </c>
      <c r="W11" s="16"/>
      <c r="X11" s="16"/>
      <c r="Y11" s="16"/>
      <c r="Z11" s="16"/>
      <c r="AA11" s="16"/>
      <c r="AB11" s="16"/>
      <c r="AC11" s="16"/>
      <c r="AD11" s="24">
        <f>SUM(N11:AC11)/4</f>
        <v>60.75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94</v>
      </c>
      <c r="O12" s="16"/>
      <c r="P12" s="16"/>
      <c r="Q12" s="16"/>
      <c r="R12" s="16">
        <v>90</v>
      </c>
      <c r="S12" s="16"/>
      <c r="T12" s="16"/>
      <c r="U12" s="16"/>
      <c r="V12" s="16">
        <v>93</v>
      </c>
      <c r="W12" s="16"/>
      <c r="X12" s="16"/>
      <c r="Y12" s="16"/>
      <c r="Z12" s="16"/>
      <c r="AA12" s="16"/>
      <c r="AB12" s="16"/>
      <c r="AC12" s="16"/>
      <c r="AD12" s="24">
        <f>SUM(N12:AC12)/4</f>
        <v>69.25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90</v>
      </c>
      <c r="O13" s="16"/>
      <c r="P13" s="16"/>
      <c r="Q13" s="16"/>
      <c r="R13" s="16">
        <v>69</v>
      </c>
      <c r="S13" s="16"/>
      <c r="T13" s="16"/>
      <c r="U13" s="16"/>
      <c r="V13" s="16">
        <v>93</v>
      </c>
      <c r="W13" s="16"/>
      <c r="X13" s="16"/>
      <c r="Y13" s="16"/>
      <c r="Z13" s="16"/>
      <c r="AA13" s="16"/>
      <c r="AB13" s="16"/>
      <c r="AC13" s="16"/>
      <c r="AD13" s="24">
        <f>SUM(N13:AC13)/4</f>
        <v>63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85</v>
      </c>
      <c r="O14" s="16"/>
      <c r="P14" s="16"/>
      <c r="Q14" s="16"/>
      <c r="R14" s="16">
        <v>89</v>
      </c>
      <c r="S14" s="16"/>
      <c r="T14" s="16"/>
      <c r="U14" s="16"/>
      <c r="V14" s="16">
        <v>87</v>
      </c>
      <c r="W14" s="16"/>
      <c r="X14" s="16"/>
      <c r="Y14" s="16"/>
      <c r="Z14" s="16"/>
      <c r="AA14" s="16"/>
      <c r="AB14" s="16"/>
      <c r="AC14" s="16"/>
      <c r="AD14" s="24">
        <f>SUM(N14:AC14)/4</f>
        <v>65.25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91</v>
      </c>
      <c r="O15" s="16"/>
      <c r="P15" s="16"/>
      <c r="Q15" s="16"/>
      <c r="R15" s="16">
        <v>91</v>
      </c>
      <c r="S15" s="16"/>
      <c r="T15" s="16"/>
      <c r="U15" s="16"/>
      <c r="V15" s="16">
        <v>98</v>
      </c>
      <c r="W15" s="16"/>
      <c r="X15" s="16"/>
      <c r="Y15" s="16"/>
      <c r="Z15" s="16"/>
      <c r="AA15" s="16"/>
      <c r="AB15" s="16"/>
      <c r="AC15" s="16"/>
      <c r="AD15" s="24">
        <f>SUM(N15:AC15)/4</f>
        <v>70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97</v>
      </c>
      <c r="O16" s="16"/>
      <c r="P16" s="16"/>
      <c r="Q16" s="16"/>
      <c r="R16" s="16">
        <v>96</v>
      </c>
      <c r="S16" s="16"/>
      <c r="T16" s="16"/>
      <c r="U16" s="16"/>
      <c r="V16" s="16">
        <v>97</v>
      </c>
      <c r="W16" s="16"/>
      <c r="X16" s="16"/>
      <c r="Y16" s="16"/>
      <c r="Z16" s="16"/>
      <c r="AA16" s="16"/>
      <c r="AB16" s="16"/>
      <c r="AC16" s="16"/>
      <c r="AD16" s="24">
        <f>SUM(N16:AC16)/4</f>
        <v>72.5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87</v>
      </c>
      <c r="O17" s="16"/>
      <c r="P17" s="16"/>
      <c r="Q17" s="16"/>
      <c r="R17" s="16"/>
      <c r="S17" s="16"/>
      <c r="T17" s="16"/>
      <c r="U17" s="16"/>
      <c r="V17" s="16">
        <v>90</v>
      </c>
      <c r="W17" s="16"/>
      <c r="X17" s="16"/>
      <c r="Y17" s="16"/>
      <c r="Z17" s="16"/>
      <c r="AA17" s="16"/>
      <c r="AB17" s="16"/>
      <c r="AC17" s="16"/>
      <c r="AD17" s="24">
        <f>SUM(N17:AC17)/4</f>
        <v>44.25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90</v>
      </c>
      <c r="O18" s="22"/>
      <c r="P18" s="22"/>
      <c r="Q18" s="23"/>
      <c r="R18" s="21">
        <v>90</v>
      </c>
      <c r="S18" s="22"/>
      <c r="T18" s="22"/>
      <c r="U18" s="23"/>
      <c r="V18" s="21">
        <v>89</v>
      </c>
      <c r="W18" s="22"/>
      <c r="X18" s="22"/>
      <c r="Y18" s="23"/>
      <c r="Z18" s="21"/>
      <c r="AA18" s="22"/>
      <c r="AB18" s="22"/>
      <c r="AC18" s="23"/>
      <c r="AD18" s="24">
        <f>SUM(N18:AC18)/4</f>
        <v>67.25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85.13</v>
      </c>
      <c r="O20" s="16"/>
      <c r="P20" s="16"/>
      <c r="Q20" s="16"/>
      <c r="R20" s="16">
        <v>79.7</v>
      </c>
      <c r="S20" s="16"/>
      <c r="T20" s="16"/>
      <c r="U20" s="16"/>
      <c r="V20" s="16">
        <v>83.35</v>
      </c>
      <c r="W20" s="16"/>
      <c r="X20" s="16"/>
      <c r="Y20" s="16"/>
      <c r="Z20" s="16"/>
      <c r="AA20" s="16"/>
      <c r="AB20" s="16"/>
      <c r="AC20" s="16"/>
      <c r="AD20" s="24">
        <f>SUM(N20:AC20)/4</f>
        <v>62.045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85.125</v>
      </c>
      <c r="O21" s="60"/>
      <c r="P21" s="60"/>
      <c r="Q21" s="60"/>
      <c r="R21" s="60">
        <f>SUM(R7:U13,R18)/8</f>
        <v>84.125</v>
      </c>
      <c r="S21" s="60"/>
      <c r="T21" s="60"/>
      <c r="U21" s="60"/>
      <c r="V21" s="60">
        <f>SUM(V7:Y13,V18)/8</f>
        <v>87.625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64.21875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2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2.9166666666667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404147190040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99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93</v>
      </c>
      <c r="O7" s="16"/>
      <c r="P7" s="16"/>
      <c r="Q7" s="16"/>
      <c r="R7" s="16">
        <v>93</v>
      </c>
      <c r="S7" s="16"/>
      <c r="T7" s="16"/>
      <c r="U7" s="16"/>
      <c r="V7" s="16">
        <v>89</v>
      </c>
      <c r="W7" s="16"/>
      <c r="X7" s="16"/>
      <c r="Y7" s="16"/>
      <c r="Z7" s="16"/>
      <c r="AA7" s="16"/>
      <c r="AB7" s="16"/>
      <c r="AC7" s="16"/>
      <c r="AD7" s="24">
        <f>SUM(N7:AC7)/4</f>
        <v>68.75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94</v>
      </c>
      <c r="O8" s="16"/>
      <c r="P8" s="16"/>
      <c r="Q8" s="16"/>
      <c r="R8" s="16">
        <v>87</v>
      </c>
      <c r="S8" s="16"/>
      <c r="T8" s="16"/>
      <c r="U8" s="16"/>
      <c r="V8" s="16">
        <v>94</v>
      </c>
      <c r="W8" s="16"/>
      <c r="X8" s="16"/>
      <c r="Y8" s="16"/>
      <c r="Z8" s="16"/>
      <c r="AA8" s="16"/>
      <c r="AB8" s="16"/>
      <c r="AC8" s="16"/>
      <c r="AD8" s="24">
        <f>SUM(N8:AC8)/4</f>
        <v>68.75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81</v>
      </c>
      <c r="O9" s="16"/>
      <c r="P9" s="16"/>
      <c r="Q9" s="16"/>
      <c r="R9" s="16">
        <v>87</v>
      </c>
      <c r="S9" s="16"/>
      <c r="T9" s="16"/>
      <c r="U9" s="16"/>
      <c r="V9" s="16">
        <v>84</v>
      </c>
      <c r="W9" s="16"/>
      <c r="X9" s="16"/>
      <c r="Y9" s="16"/>
      <c r="Z9" s="16"/>
      <c r="AA9" s="16"/>
      <c r="AB9" s="16"/>
      <c r="AC9" s="16"/>
      <c r="AD9" s="24">
        <f>SUM(N9:AC9)/4</f>
        <v>63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86</v>
      </c>
      <c r="O10" s="16"/>
      <c r="P10" s="16"/>
      <c r="Q10" s="16"/>
      <c r="R10" s="16">
        <v>91</v>
      </c>
      <c r="S10" s="16"/>
      <c r="T10" s="16"/>
      <c r="U10" s="16"/>
      <c r="V10" s="16">
        <v>87</v>
      </c>
      <c r="W10" s="16"/>
      <c r="X10" s="16"/>
      <c r="Y10" s="16"/>
      <c r="Z10" s="16"/>
      <c r="AA10" s="16"/>
      <c r="AB10" s="16"/>
      <c r="AC10" s="16"/>
      <c r="AD10" s="24">
        <f>SUM(N10:AC10)/4</f>
        <v>66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89</v>
      </c>
      <c r="O11" s="16"/>
      <c r="P11" s="16"/>
      <c r="Q11" s="16"/>
      <c r="R11" s="16">
        <v>90</v>
      </c>
      <c r="S11" s="16"/>
      <c r="T11" s="16"/>
      <c r="U11" s="16"/>
      <c r="V11" s="16">
        <v>88</v>
      </c>
      <c r="W11" s="16"/>
      <c r="X11" s="16"/>
      <c r="Y11" s="16"/>
      <c r="Z11" s="16"/>
      <c r="AA11" s="16"/>
      <c r="AB11" s="16"/>
      <c r="AC11" s="16"/>
      <c r="AD11" s="24">
        <f>SUM(N11:AC11)/4</f>
        <v>66.75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98</v>
      </c>
      <c r="O12" s="16"/>
      <c r="P12" s="16"/>
      <c r="Q12" s="16"/>
      <c r="R12" s="16">
        <v>96</v>
      </c>
      <c r="S12" s="16"/>
      <c r="T12" s="16"/>
      <c r="U12" s="16"/>
      <c r="V12" s="16">
        <v>95</v>
      </c>
      <c r="W12" s="16"/>
      <c r="X12" s="16"/>
      <c r="Y12" s="16"/>
      <c r="Z12" s="16"/>
      <c r="AA12" s="16"/>
      <c r="AB12" s="16"/>
      <c r="AC12" s="16"/>
      <c r="AD12" s="24">
        <f>SUM(N12:AC12)/4</f>
        <v>72.25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98</v>
      </c>
      <c r="O13" s="16"/>
      <c r="P13" s="16"/>
      <c r="Q13" s="16"/>
      <c r="R13" s="16">
        <v>98</v>
      </c>
      <c r="S13" s="16"/>
      <c r="T13" s="16"/>
      <c r="U13" s="16"/>
      <c r="V13" s="16">
        <v>97</v>
      </c>
      <c r="W13" s="16"/>
      <c r="X13" s="16"/>
      <c r="Y13" s="16"/>
      <c r="Z13" s="16"/>
      <c r="AA13" s="16"/>
      <c r="AB13" s="16"/>
      <c r="AC13" s="16"/>
      <c r="AD13" s="24">
        <f>SUM(N13:AC13)/4</f>
        <v>73.25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97</v>
      </c>
      <c r="O14" s="16"/>
      <c r="P14" s="16"/>
      <c r="Q14" s="16"/>
      <c r="R14" s="16">
        <v>98</v>
      </c>
      <c r="S14" s="16"/>
      <c r="T14" s="16"/>
      <c r="U14" s="16"/>
      <c r="V14" s="16">
        <v>94</v>
      </c>
      <c r="W14" s="16"/>
      <c r="X14" s="16"/>
      <c r="Y14" s="16"/>
      <c r="Z14" s="16"/>
      <c r="AA14" s="16"/>
      <c r="AB14" s="16"/>
      <c r="AC14" s="16"/>
      <c r="AD14" s="24">
        <f>SUM(N14:AC14)/4</f>
        <v>72.25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98</v>
      </c>
      <c r="O15" s="16"/>
      <c r="P15" s="16"/>
      <c r="Q15" s="16"/>
      <c r="R15" s="16">
        <v>97</v>
      </c>
      <c r="S15" s="16"/>
      <c r="T15" s="16"/>
      <c r="U15" s="16"/>
      <c r="V15" s="16">
        <v>98</v>
      </c>
      <c r="W15" s="16"/>
      <c r="X15" s="16"/>
      <c r="Y15" s="16"/>
      <c r="Z15" s="16"/>
      <c r="AA15" s="16"/>
      <c r="AB15" s="16"/>
      <c r="AC15" s="16"/>
      <c r="AD15" s="24">
        <f>SUM(N15:AC15)/4</f>
        <v>73.25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98</v>
      </c>
      <c r="S16" s="16"/>
      <c r="T16" s="16"/>
      <c r="U16" s="16"/>
      <c r="V16" s="16">
        <v>98</v>
      </c>
      <c r="W16" s="16"/>
      <c r="X16" s="16"/>
      <c r="Y16" s="16"/>
      <c r="Z16" s="16"/>
      <c r="AA16" s="16"/>
      <c r="AB16" s="16"/>
      <c r="AC16" s="16"/>
      <c r="AD16" s="24">
        <f>SUM(N16:AC16)/4</f>
        <v>73.75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99</v>
      </c>
      <c r="O17" s="16"/>
      <c r="P17" s="16"/>
      <c r="Q17" s="16"/>
      <c r="R17" s="16">
        <v>98</v>
      </c>
      <c r="S17" s="16"/>
      <c r="T17" s="16"/>
      <c r="U17" s="16"/>
      <c r="V17" s="16">
        <v>99</v>
      </c>
      <c r="W17" s="16"/>
      <c r="X17" s="16"/>
      <c r="Y17" s="16"/>
      <c r="Z17" s="16"/>
      <c r="AA17" s="16"/>
      <c r="AB17" s="16"/>
      <c r="AC17" s="16"/>
      <c r="AD17" s="24">
        <f>SUM(N17:AC17)/4</f>
        <v>74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97</v>
      </c>
      <c r="O18" s="22"/>
      <c r="P18" s="22"/>
      <c r="Q18" s="23"/>
      <c r="R18" s="21">
        <v>94</v>
      </c>
      <c r="S18" s="22"/>
      <c r="T18" s="22"/>
      <c r="U18" s="23"/>
      <c r="V18" s="21">
        <v>94</v>
      </c>
      <c r="W18" s="22"/>
      <c r="X18" s="22"/>
      <c r="Y18" s="23"/>
      <c r="Z18" s="21"/>
      <c r="AA18" s="22"/>
      <c r="AB18" s="22"/>
      <c r="AC18" s="23"/>
      <c r="AD18" s="24">
        <f>SUM(N18:AC18)/4</f>
        <v>71.25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94.55</v>
      </c>
      <c r="O20" s="16"/>
      <c r="P20" s="16"/>
      <c r="Q20" s="16"/>
      <c r="R20" s="16">
        <v>84.5</v>
      </c>
      <c r="S20" s="16"/>
      <c r="T20" s="16"/>
      <c r="U20" s="16"/>
      <c r="V20" s="16">
        <v>78.25</v>
      </c>
      <c r="W20" s="16"/>
      <c r="X20" s="16"/>
      <c r="Y20" s="16"/>
      <c r="Z20" s="16"/>
      <c r="AA20" s="16"/>
      <c r="AB20" s="16"/>
      <c r="AC20" s="16"/>
      <c r="AD20" s="24">
        <f>SUM(N20:AC20)/4</f>
        <v>64.325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92</v>
      </c>
      <c r="O21" s="60"/>
      <c r="P21" s="60"/>
      <c r="Q21" s="60"/>
      <c r="R21" s="60">
        <f>SUM(R7:U13,R18)/8</f>
        <v>92</v>
      </c>
      <c r="S21" s="60"/>
      <c r="T21" s="60"/>
      <c r="U21" s="60"/>
      <c r="V21" s="60">
        <f>SUM(V7:Y13,V18)/8</f>
        <v>91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68.75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4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4</v>
      </c>
      <c r="S29" s="19"/>
      <c r="T29" s="19">
        <v>4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3.0833333333333</v>
      </c>
      <c r="S38" s="20"/>
      <c r="T38" s="20">
        <f>SUM(T26:U37)/12</f>
        <v>3.1666666666667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404147190065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100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85</v>
      </c>
      <c r="O7" s="16"/>
      <c r="P7" s="16"/>
      <c r="Q7" s="16"/>
      <c r="R7" s="16">
        <v>85</v>
      </c>
      <c r="S7" s="16"/>
      <c r="T7" s="16"/>
      <c r="U7" s="16"/>
      <c r="V7" s="16">
        <v>85</v>
      </c>
      <c r="W7" s="16"/>
      <c r="X7" s="16"/>
      <c r="Y7" s="16"/>
      <c r="Z7" s="16"/>
      <c r="AA7" s="16"/>
      <c r="AB7" s="16"/>
      <c r="AC7" s="16"/>
      <c r="AD7" s="24">
        <f>SUM(N7:AC7)/4</f>
        <v>63.75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91</v>
      </c>
      <c r="O8" s="16"/>
      <c r="P8" s="16"/>
      <c r="Q8" s="16"/>
      <c r="R8" s="16">
        <v>87</v>
      </c>
      <c r="S8" s="16"/>
      <c r="T8" s="16"/>
      <c r="U8" s="16"/>
      <c r="V8" s="16">
        <v>95</v>
      </c>
      <c r="W8" s="16"/>
      <c r="X8" s="16"/>
      <c r="Y8" s="16"/>
      <c r="Z8" s="16"/>
      <c r="AA8" s="16"/>
      <c r="AB8" s="16"/>
      <c r="AC8" s="16"/>
      <c r="AD8" s="24">
        <f>SUM(N8:AC8)/4</f>
        <v>68.25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87</v>
      </c>
      <c r="O9" s="16"/>
      <c r="P9" s="16"/>
      <c r="Q9" s="16"/>
      <c r="R9" s="16">
        <v>86</v>
      </c>
      <c r="S9" s="16"/>
      <c r="T9" s="16"/>
      <c r="U9" s="16"/>
      <c r="V9" s="16">
        <v>91</v>
      </c>
      <c r="W9" s="16"/>
      <c r="X9" s="16"/>
      <c r="Y9" s="16"/>
      <c r="Z9" s="16"/>
      <c r="AA9" s="16"/>
      <c r="AB9" s="16"/>
      <c r="AC9" s="16"/>
      <c r="AD9" s="24">
        <f>SUM(N9:AC9)/4</f>
        <v>66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85</v>
      </c>
      <c r="O10" s="16"/>
      <c r="P10" s="16"/>
      <c r="Q10" s="16"/>
      <c r="R10" s="16">
        <v>93</v>
      </c>
      <c r="S10" s="16"/>
      <c r="T10" s="16"/>
      <c r="U10" s="16"/>
      <c r="V10" s="16">
        <v>88</v>
      </c>
      <c r="W10" s="16"/>
      <c r="X10" s="16"/>
      <c r="Y10" s="16"/>
      <c r="Z10" s="16"/>
      <c r="AA10" s="16"/>
      <c r="AB10" s="16"/>
      <c r="AC10" s="16"/>
      <c r="AD10" s="24">
        <f>SUM(N10:AC10)/4</f>
        <v>66.5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87</v>
      </c>
      <c r="O11" s="16"/>
      <c r="P11" s="16"/>
      <c r="Q11" s="16"/>
      <c r="R11" s="16">
        <v>87</v>
      </c>
      <c r="S11" s="16"/>
      <c r="T11" s="16"/>
      <c r="U11" s="16"/>
      <c r="V11" s="16">
        <v>87</v>
      </c>
      <c r="W11" s="16"/>
      <c r="X11" s="16"/>
      <c r="Y11" s="16"/>
      <c r="Z11" s="16"/>
      <c r="AA11" s="16"/>
      <c r="AB11" s="16"/>
      <c r="AC11" s="16"/>
      <c r="AD11" s="24">
        <f>SUM(N11:AC11)/4</f>
        <v>65.25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97</v>
      </c>
      <c r="O12" s="16"/>
      <c r="P12" s="16"/>
      <c r="Q12" s="16"/>
      <c r="R12" s="16">
        <v>93</v>
      </c>
      <c r="S12" s="16"/>
      <c r="T12" s="16"/>
      <c r="U12" s="16"/>
      <c r="V12" s="16">
        <v>96</v>
      </c>
      <c r="W12" s="16"/>
      <c r="X12" s="16"/>
      <c r="Y12" s="16"/>
      <c r="Z12" s="16"/>
      <c r="AA12" s="16"/>
      <c r="AB12" s="16"/>
      <c r="AC12" s="16"/>
      <c r="AD12" s="24">
        <f>SUM(N12:AC12)/4</f>
        <v>71.5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98</v>
      </c>
      <c r="O13" s="16"/>
      <c r="P13" s="16"/>
      <c r="Q13" s="16"/>
      <c r="R13" s="16">
        <v>96</v>
      </c>
      <c r="S13" s="16"/>
      <c r="T13" s="16"/>
      <c r="U13" s="16"/>
      <c r="V13" s="16">
        <v>97</v>
      </c>
      <c r="W13" s="16"/>
      <c r="X13" s="16"/>
      <c r="Y13" s="16"/>
      <c r="Z13" s="16"/>
      <c r="AA13" s="16"/>
      <c r="AB13" s="16"/>
      <c r="AC13" s="16"/>
      <c r="AD13" s="24">
        <f>SUM(N13:AC13)/4</f>
        <v>72.75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96</v>
      </c>
      <c r="O14" s="16"/>
      <c r="P14" s="16"/>
      <c r="Q14" s="16"/>
      <c r="R14" s="16">
        <v>91</v>
      </c>
      <c r="S14" s="16"/>
      <c r="T14" s="16"/>
      <c r="U14" s="16"/>
      <c r="V14" s="16">
        <v>94</v>
      </c>
      <c r="W14" s="16"/>
      <c r="X14" s="16"/>
      <c r="Y14" s="16"/>
      <c r="Z14" s="16"/>
      <c r="AA14" s="16"/>
      <c r="AB14" s="16"/>
      <c r="AC14" s="16"/>
      <c r="AD14" s="24">
        <f>SUM(N14:AC14)/4</f>
        <v>70.25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97</v>
      </c>
      <c r="O15" s="16"/>
      <c r="P15" s="16"/>
      <c r="Q15" s="16"/>
      <c r="R15" s="16">
        <v>96</v>
      </c>
      <c r="S15" s="16"/>
      <c r="T15" s="16"/>
      <c r="U15" s="16"/>
      <c r="V15" s="16">
        <v>98</v>
      </c>
      <c r="W15" s="16"/>
      <c r="X15" s="16"/>
      <c r="Y15" s="16"/>
      <c r="Z15" s="16"/>
      <c r="AA15" s="16"/>
      <c r="AB15" s="16"/>
      <c r="AC15" s="16"/>
      <c r="AD15" s="24">
        <f>SUM(N15:AC15)/4</f>
        <v>72.75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97</v>
      </c>
      <c r="S16" s="16"/>
      <c r="T16" s="16"/>
      <c r="U16" s="16"/>
      <c r="V16" s="16">
        <v>97</v>
      </c>
      <c r="W16" s="16"/>
      <c r="X16" s="16"/>
      <c r="Y16" s="16"/>
      <c r="Z16" s="16"/>
      <c r="AA16" s="16"/>
      <c r="AB16" s="16"/>
      <c r="AC16" s="16"/>
      <c r="AD16" s="24">
        <f>SUM(N16:AC16)/4</f>
        <v>73.25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99</v>
      </c>
      <c r="O17" s="16"/>
      <c r="P17" s="16"/>
      <c r="Q17" s="16"/>
      <c r="R17" s="16">
        <v>100</v>
      </c>
      <c r="S17" s="16"/>
      <c r="T17" s="16"/>
      <c r="U17" s="16"/>
      <c r="V17" s="16">
        <v>100</v>
      </c>
      <c r="W17" s="16"/>
      <c r="X17" s="16"/>
      <c r="Y17" s="16"/>
      <c r="Z17" s="16"/>
      <c r="AA17" s="16"/>
      <c r="AB17" s="16"/>
      <c r="AC17" s="16"/>
      <c r="AD17" s="24">
        <f>SUM(N17:AC17)/4</f>
        <v>74.75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95</v>
      </c>
      <c r="O18" s="22"/>
      <c r="P18" s="22"/>
      <c r="Q18" s="23"/>
      <c r="R18" s="21">
        <v>94</v>
      </c>
      <c r="S18" s="22"/>
      <c r="T18" s="22"/>
      <c r="U18" s="23"/>
      <c r="V18" s="21">
        <v>95</v>
      </c>
      <c r="W18" s="22"/>
      <c r="X18" s="22"/>
      <c r="Y18" s="23"/>
      <c r="Z18" s="21"/>
      <c r="AA18" s="22"/>
      <c r="AB18" s="22"/>
      <c r="AC18" s="23"/>
      <c r="AD18" s="24">
        <f>SUM(N18:AC18)/4</f>
        <v>71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95.05</v>
      </c>
      <c r="O20" s="16"/>
      <c r="P20" s="16"/>
      <c r="Q20" s="16"/>
      <c r="R20" s="16">
        <v>92.4</v>
      </c>
      <c r="S20" s="16"/>
      <c r="T20" s="16"/>
      <c r="U20" s="16"/>
      <c r="V20" s="16">
        <v>94.15</v>
      </c>
      <c r="W20" s="16"/>
      <c r="X20" s="16"/>
      <c r="Y20" s="16"/>
      <c r="Z20" s="16"/>
      <c r="AA20" s="16"/>
      <c r="AB20" s="16"/>
      <c r="AC20" s="16"/>
      <c r="AD20" s="24">
        <f>SUM(N20:AC20)/4</f>
        <v>70.4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90.625</v>
      </c>
      <c r="O21" s="60"/>
      <c r="P21" s="60"/>
      <c r="Q21" s="60"/>
      <c r="R21" s="60">
        <f>SUM(R7:U13,R18)/8</f>
        <v>90.125</v>
      </c>
      <c r="S21" s="60"/>
      <c r="T21" s="60"/>
      <c r="U21" s="60"/>
      <c r="V21" s="60">
        <f>SUM(V7:Y13,V18)/8</f>
        <v>91.75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68.125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4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4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3.1666666666667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441031190001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101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94</v>
      </c>
      <c r="O7" s="16"/>
      <c r="P7" s="16"/>
      <c r="Q7" s="16"/>
      <c r="R7" s="16">
        <v>94</v>
      </c>
      <c r="S7" s="16"/>
      <c r="T7" s="16"/>
      <c r="U7" s="16"/>
      <c r="V7" s="16">
        <v>92</v>
      </c>
      <c r="W7" s="16"/>
      <c r="X7" s="16"/>
      <c r="Y7" s="16"/>
      <c r="Z7" s="16"/>
      <c r="AA7" s="16"/>
      <c r="AB7" s="16"/>
      <c r="AC7" s="16"/>
      <c r="AD7" s="24">
        <f>SUM(N7:AC7)/4</f>
        <v>70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92</v>
      </c>
      <c r="O8" s="16"/>
      <c r="P8" s="16"/>
      <c r="Q8" s="16"/>
      <c r="R8" s="16">
        <v>90</v>
      </c>
      <c r="S8" s="16"/>
      <c r="T8" s="16"/>
      <c r="U8" s="16"/>
      <c r="V8" s="16">
        <v>92</v>
      </c>
      <c r="W8" s="16"/>
      <c r="X8" s="16"/>
      <c r="Y8" s="16"/>
      <c r="Z8" s="16"/>
      <c r="AA8" s="16"/>
      <c r="AB8" s="16"/>
      <c r="AC8" s="16"/>
      <c r="AD8" s="24">
        <f>SUM(N8:AC8)/4</f>
        <v>68.5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98</v>
      </c>
      <c r="O9" s="16"/>
      <c r="P9" s="16"/>
      <c r="Q9" s="16"/>
      <c r="R9" s="16">
        <v>95</v>
      </c>
      <c r="S9" s="16"/>
      <c r="T9" s="16"/>
      <c r="U9" s="16"/>
      <c r="V9" s="16">
        <v>96</v>
      </c>
      <c r="W9" s="16"/>
      <c r="X9" s="16"/>
      <c r="Y9" s="16"/>
      <c r="Z9" s="16"/>
      <c r="AA9" s="16"/>
      <c r="AB9" s="16"/>
      <c r="AC9" s="16"/>
      <c r="AD9" s="24">
        <f>SUM(N9:AC9)/4</f>
        <v>72.25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82</v>
      </c>
      <c r="O10" s="16"/>
      <c r="P10" s="16"/>
      <c r="Q10" s="16"/>
      <c r="R10" s="16">
        <v>92</v>
      </c>
      <c r="S10" s="16"/>
      <c r="T10" s="16"/>
      <c r="U10" s="16"/>
      <c r="V10" s="16">
        <v>91</v>
      </c>
      <c r="W10" s="16"/>
      <c r="X10" s="16"/>
      <c r="Y10" s="16"/>
      <c r="Z10" s="16"/>
      <c r="AA10" s="16"/>
      <c r="AB10" s="16"/>
      <c r="AC10" s="16"/>
      <c r="AD10" s="24">
        <f>SUM(N10:AC10)/4</f>
        <v>66.25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81</v>
      </c>
      <c r="O11" s="16"/>
      <c r="P11" s="16"/>
      <c r="Q11" s="16"/>
      <c r="R11" s="16">
        <v>93</v>
      </c>
      <c r="S11" s="16"/>
      <c r="T11" s="16"/>
      <c r="U11" s="16"/>
      <c r="V11" s="16">
        <v>91</v>
      </c>
      <c r="W11" s="16"/>
      <c r="X11" s="16"/>
      <c r="Y11" s="16"/>
      <c r="Z11" s="16"/>
      <c r="AA11" s="16"/>
      <c r="AB11" s="16"/>
      <c r="AC11" s="16"/>
      <c r="AD11" s="24">
        <f>SUM(N11:AC11)/4</f>
        <v>66.25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97</v>
      </c>
      <c r="O12" s="16"/>
      <c r="P12" s="16"/>
      <c r="Q12" s="16"/>
      <c r="R12" s="16">
        <v>95</v>
      </c>
      <c r="S12" s="16"/>
      <c r="T12" s="16"/>
      <c r="U12" s="16"/>
      <c r="V12" s="16">
        <v>95</v>
      </c>
      <c r="W12" s="16"/>
      <c r="X12" s="16"/>
      <c r="Y12" s="16"/>
      <c r="Z12" s="16"/>
      <c r="AA12" s="16"/>
      <c r="AB12" s="16"/>
      <c r="AC12" s="16"/>
      <c r="AD12" s="24">
        <f>SUM(N12:AC12)/4</f>
        <v>71.75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95</v>
      </c>
      <c r="O13" s="16"/>
      <c r="P13" s="16"/>
      <c r="Q13" s="16"/>
      <c r="R13" s="16">
        <v>98</v>
      </c>
      <c r="S13" s="16"/>
      <c r="T13" s="16"/>
      <c r="U13" s="16"/>
      <c r="V13" s="16">
        <v>97</v>
      </c>
      <c r="W13" s="16"/>
      <c r="X13" s="16"/>
      <c r="Y13" s="16"/>
      <c r="Z13" s="16"/>
      <c r="AA13" s="16"/>
      <c r="AB13" s="16"/>
      <c r="AC13" s="16"/>
      <c r="AD13" s="24">
        <f>SUM(N13:AC13)/4</f>
        <v>72.5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96</v>
      </c>
      <c r="O14" s="16"/>
      <c r="P14" s="16"/>
      <c r="Q14" s="16"/>
      <c r="R14" s="16">
        <v>98</v>
      </c>
      <c r="S14" s="16"/>
      <c r="T14" s="16"/>
      <c r="U14" s="16"/>
      <c r="V14" s="16">
        <v>94</v>
      </c>
      <c r="W14" s="16"/>
      <c r="X14" s="16"/>
      <c r="Y14" s="16"/>
      <c r="Z14" s="16"/>
      <c r="AA14" s="16"/>
      <c r="AB14" s="16"/>
      <c r="AC14" s="16"/>
      <c r="AD14" s="24">
        <f>SUM(N14:AC14)/4</f>
        <v>72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91</v>
      </c>
      <c r="O15" s="16"/>
      <c r="P15" s="16"/>
      <c r="Q15" s="16"/>
      <c r="R15" s="16">
        <v>94</v>
      </c>
      <c r="S15" s="16"/>
      <c r="T15" s="16"/>
      <c r="U15" s="16"/>
      <c r="V15" s="16">
        <v>95</v>
      </c>
      <c r="W15" s="16"/>
      <c r="X15" s="16"/>
      <c r="Y15" s="16"/>
      <c r="Z15" s="16"/>
      <c r="AA15" s="16"/>
      <c r="AB15" s="16"/>
      <c r="AC15" s="16"/>
      <c r="AD15" s="24">
        <f>SUM(N15:AC15)/4</f>
        <v>70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100</v>
      </c>
      <c r="S16" s="16"/>
      <c r="T16" s="16"/>
      <c r="U16" s="16"/>
      <c r="V16" s="16">
        <v>99</v>
      </c>
      <c r="W16" s="16"/>
      <c r="X16" s="16"/>
      <c r="Y16" s="16"/>
      <c r="Z16" s="16"/>
      <c r="AA16" s="16"/>
      <c r="AB16" s="16"/>
      <c r="AC16" s="16"/>
      <c r="AD16" s="24">
        <f>SUM(N16:AC16)/4</f>
        <v>74.5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93</v>
      </c>
      <c r="O17" s="16"/>
      <c r="P17" s="16"/>
      <c r="Q17" s="16"/>
      <c r="R17" s="16">
        <v>98</v>
      </c>
      <c r="S17" s="16"/>
      <c r="T17" s="16"/>
      <c r="U17" s="16"/>
      <c r="V17" s="16">
        <v>98</v>
      </c>
      <c r="W17" s="16"/>
      <c r="X17" s="16"/>
      <c r="Y17" s="16"/>
      <c r="Z17" s="16"/>
      <c r="AA17" s="16"/>
      <c r="AB17" s="16"/>
      <c r="AC17" s="16"/>
      <c r="AD17" s="24">
        <f>SUM(N17:AC17)/4</f>
        <v>72.25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92</v>
      </c>
      <c r="O18" s="22"/>
      <c r="P18" s="22"/>
      <c r="Q18" s="23"/>
      <c r="R18" s="21">
        <v>94</v>
      </c>
      <c r="S18" s="22"/>
      <c r="T18" s="22"/>
      <c r="U18" s="23"/>
      <c r="V18" s="21">
        <v>93</v>
      </c>
      <c r="W18" s="22"/>
      <c r="X18" s="22"/>
      <c r="Y18" s="23"/>
      <c r="Z18" s="21"/>
      <c r="AA18" s="22"/>
      <c r="AB18" s="22"/>
      <c r="AC18" s="23"/>
      <c r="AD18" s="24">
        <f>SUM(N18:AC18)/4</f>
        <v>69.75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95.0</v>
      </c>
      <c r="O20" s="16"/>
      <c r="P20" s="16"/>
      <c r="Q20" s="16"/>
      <c r="R20" s="16">
        <v>95.5</v>
      </c>
      <c r="S20" s="16"/>
      <c r="T20" s="16"/>
      <c r="U20" s="16"/>
      <c r="V20" s="16">
        <v>95.5</v>
      </c>
      <c r="W20" s="16"/>
      <c r="X20" s="16"/>
      <c r="Y20" s="16"/>
      <c r="Z20" s="16"/>
      <c r="AA20" s="16"/>
      <c r="AB20" s="16"/>
      <c r="AC20" s="16"/>
      <c r="AD20" s="24">
        <f>SUM(N20:AC20)/4</f>
        <v>71.5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91.375</v>
      </c>
      <c r="O21" s="60"/>
      <c r="P21" s="60"/>
      <c r="Q21" s="60"/>
      <c r="R21" s="60">
        <f>SUM(R7:U13,R18)/8</f>
        <v>93.875</v>
      </c>
      <c r="S21" s="60"/>
      <c r="T21" s="60"/>
      <c r="U21" s="60"/>
      <c r="V21" s="60">
        <f>SUM(V7:Y13,V18)/8</f>
        <v>93.375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69.65625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4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3.0833333333333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409484190022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102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91</v>
      </c>
      <c r="O7" s="16"/>
      <c r="P7" s="16"/>
      <c r="Q7" s="16"/>
      <c r="R7" s="16">
        <v>91</v>
      </c>
      <c r="S7" s="16"/>
      <c r="T7" s="16"/>
      <c r="U7" s="16"/>
      <c r="V7" s="16">
        <v>89</v>
      </c>
      <c r="W7" s="16"/>
      <c r="X7" s="16"/>
      <c r="Y7" s="16"/>
      <c r="Z7" s="16"/>
      <c r="AA7" s="16"/>
      <c r="AB7" s="16"/>
      <c r="AC7" s="16"/>
      <c r="AD7" s="24">
        <f>SUM(N7:AC7)/4</f>
        <v>67.75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94</v>
      </c>
      <c r="O8" s="16"/>
      <c r="P8" s="16"/>
      <c r="Q8" s="16"/>
      <c r="R8" s="16">
        <v>89</v>
      </c>
      <c r="S8" s="16"/>
      <c r="T8" s="16"/>
      <c r="U8" s="16"/>
      <c r="V8" s="16">
        <v>94</v>
      </c>
      <c r="W8" s="16"/>
      <c r="X8" s="16"/>
      <c r="Y8" s="16"/>
      <c r="Z8" s="16"/>
      <c r="AA8" s="16"/>
      <c r="AB8" s="16"/>
      <c r="AC8" s="16"/>
      <c r="AD8" s="24">
        <f>SUM(N8:AC8)/4</f>
        <v>69.25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94</v>
      </c>
      <c r="O9" s="16"/>
      <c r="P9" s="16"/>
      <c r="Q9" s="16"/>
      <c r="R9" s="16">
        <v>94</v>
      </c>
      <c r="S9" s="16"/>
      <c r="T9" s="16"/>
      <c r="U9" s="16"/>
      <c r="V9" s="16">
        <v>95</v>
      </c>
      <c r="W9" s="16"/>
      <c r="X9" s="16"/>
      <c r="Y9" s="16"/>
      <c r="Z9" s="16"/>
      <c r="AA9" s="16"/>
      <c r="AB9" s="16"/>
      <c r="AC9" s="16"/>
      <c r="AD9" s="24">
        <f>SUM(N9:AC9)/4</f>
        <v>70.75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86</v>
      </c>
      <c r="O10" s="16"/>
      <c r="P10" s="16"/>
      <c r="Q10" s="16"/>
      <c r="R10" s="16">
        <v>92</v>
      </c>
      <c r="S10" s="16"/>
      <c r="T10" s="16"/>
      <c r="U10" s="16"/>
      <c r="V10" s="16">
        <v>93</v>
      </c>
      <c r="W10" s="16"/>
      <c r="X10" s="16"/>
      <c r="Y10" s="16"/>
      <c r="Z10" s="16"/>
      <c r="AA10" s="16"/>
      <c r="AB10" s="16"/>
      <c r="AC10" s="16"/>
      <c r="AD10" s="24">
        <f>SUM(N10:AC10)/4</f>
        <v>67.75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89</v>
      </c>
      <c r="O11" s="16"/>
      <c r="P11" s="16"/>
      <c r="Q11" s="16"/>
      <c r="R11" s="16">
        <v>91</v>
      </c>
      <c r="S11" s="16"/>
      <c r="T11" s="16"/>
      <c r="U11" s="16"/>
      <c r="V11" s="16">
        <v>89</v>
      </c>
      <c r="W11" s="16"/>
      <c r="X11" s="16"/>
      <c r="Y11" s="16"/>
      <c r="Z11" s="16"/>
      <c r="AA11" s="16"/>
      <c r="AB11" s="16"/>
      <c r="AC11" s="16"/>
      <c r="AD11" s="24">
        <f>SUM(N11:AC11)/4</f>
        <v>67.25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96</v>
      </c>
      <c r="O12" s="16"/>
      <c r="P12" s="16"/>
      <c r="Q12" s="16"/>
      <c r="R12" s="16">
        <v>96</v>
      </c>
      <c r="S12" s="16"/>
      <c r="T12" s="16"/>
      <c r="U12" s="16"/>
      <c r="V12" s="16">
        <v>96</v>
      </c>
      <c r="W12" s="16"/>
      <c r="X12" s="16"/>
      <c r="Y12" s="16"/>
      <c r="Z12" s="16"/>
      <c r="AA12" s="16"/>
      <c r="AB12" s="16"/>
      <c r="AC12" s="16"/>
      <c r="AD12" s="24">
        <f>SUM(N12:AC12)/4</f>
        <v>72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96</v>
      </c>
      <c r="O13" s="16"/>
      <c r="P13" s="16"/>
      <c r="Q13" s="16"/>
      <c r="R13" s="16">
        <v>97</v>
      </c>
      <c r="S13" s="16"/>
      <c r="T13" s="16"/>
      <c r="U13" s="16"/>
      <c r="V13" s="16">
        <v>96</v>
      </c>
      <c r="W13" s="16"/>
      <c r="X13" s="16"/>
      <c r="Y13" s="16"/>
      <c r="Z13" s="16"/>
      <c r="AA13" s="16"/>
      <c r="AB13" s="16"/>
      <c r="AC13" s="16"/>
      <c r="AD13" s="24">
        <f>SUM(N13:AC13)/4</f>
        <v>72.25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93</v>
      </c>
      <c r="O14" s="16"/>
      <c r="P14" s="16"/>
      <c r="Q14" s="16"/>
      <c r="R14" s="16">
        <v>99</v>
      </c>
      <c r="S14" s="16"/>
      <c r="T14" s="16"/>
      <c r="U14" s="16"/>
      <c r="V14" s="16">
        <v>93</v>
      </c>
      <c r="W14" s="16"/>
      <c r="X14" s="16"/>
      <c r="Y14" s="16"/>
      <c r="Z14" s="16"/>
      <c r="AA14" s="16"/>
      <c r="AB14" s="16"/>
      <c r="AC14" s="16"/>
      <c r="AD14" s="24">
        <f>SUM(N14:AC14)/4</f>
        <v>71.25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93</v>
      </c>
      <c r="O15" s="16"/>
      <c r="P15" s="16"/>
      <c r="Q15" s="16"/>
      <c r="R15" s="16">
        <v>92</v>
      </c>
      <c r="S15" s="16"/>
      <c r="T15" s="16"/>
      <c r="U15" s="16"/>
      <c r="V15" s="16">
        <v>97</v>
      </c>
      <c r="W15" s="16"/>
      <c r="X15" s="16"/>
      <c r="Y15" s="16"/>
      <c r="Z15" s="16"/>
      <c r="AA15" s="16"/>
      <c r="AB15" s="16"/>
      <c r="AC15" s="16"/>
      <c r="AD15" s="24">
        <f>SUM(N15:AC15)/4</f>
        <v>70.5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98</v>
      </c>
      <c r="O16" s="16"/>
      <c r="P16" s="16"/>
      <c r="Q16" s="16"/>
      <c r="R16" s="16">
        <v>96</v>
      </c>
      <c r="S16" s="16"/>
      <c r="T16" s="16"/>
      <c r="U16" s="16"/>
      <c r="V16" s="16">
        <v>97</v>
      </c>
      <c r="W16" s="16"/>
      <c r="X16" s="16"/>
      <c r="Y16" s="16"/>
      <c r="Z16" s="16"/>
      <c r="AA16" s="16"/>
      <c r="AB16" s="16"/>
      <c r="AC16" s="16"/>
      <c r="AD16" s="24">
        <f>SUM(N16:AC16)/4</f>
        <v>72.75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100</v>
      </c>
      <c r="O17" s="16"/>
      <c r="P17" s="16"/>
      <c r="Q17" s="16"/>
      <c r="R17" s="16">
        <v>99</v>
      </c>
      <c r="S17" s="16"/>
      <c r="T17" s="16"/>
      <c r="U17" s="16"/>
      <c r="V17" s="16">
        <v>98</v>
      </c>
      <c r="W17" s="16"/>
      <c r="X17" s="16"/>
      <c r="Y17" s="16"/>
      <c r="Z17" s="16"/>
      <c r="AA17" s="16"/>
      <c r="AB17" s="16"/>
      <c r="AC17" s="16"/>
      <c r="AD17" s="24">
        <f>SUM(N17:AC17)/4</f>
        <v>74.25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95</v>
      </c>
      <c r="O18" s="22"/>
      <c r="P18" s="22"/>
      <c r="Q18" s="23"/>
      <c r="R18" s="21">
        <v>94</v>
      </c>
      <c r="S18" s="22"/>
      <c r="T18" s="22"/>
      <c r="U18" s="23"/>
      <c r="V18" s="21">
        <v>93</v>
      </c>
      <c r="W18" s="22"/>
      <c r="X18" s="22"/>
      <c r="Y18" s="23"/>
      <c r="Z18" s="21"/>
      <c r="AA18" s="22"/>
      <c r="AB18" s="22"/>
      <c r="AC18" s="23"/>
      <c r="AD18" s="24">
        <f>SUM(N18:AC18)/4</f>
        <v>70.5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98.35</v>
      </c>
      <c r="O20" s="16"/>
      <c r="P20" s="16"/>
      <c r="Q20" s="16"/>
      <c r="R20" s="16">
        <v>94.7</v>
      </c>
      <c r="S20" s="16"/>
      <c r="T20" s="16"/>
      <c r="U20" s="16"/>
      <c r="V20" s="16">
        <v>97.7</v>
      </c>
      <c r="W20" s="16"/>
      <c r="X20" s="16"/>
      <c r="Y20" s="16"/>
      <c r="Z20" s="16"/>
      <c r="AA20" s="16"/>
      <c r="AB20" s="16"/>
      <c r="AC20" s="16"/>
      <c r="AD20" s="24">
        <f>SUM(N20:AC20)/4</f>
        <v>72.6875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92.625</v>
      </c>
      <c r="O21" s="60"/>
      <c r="P21" s="60"/>
      <c r="Q21" s="60"/>
      <c r="R21" s="60">
        <f>SUM(R7:U13,R18)/8</f>
        <v>93</v>
      </c>
      <c r="S21" s="60"/>
      <c r="T21" s="60"/>
      <c r="U21" s="60"/>
      <c r="V21" s="60">
        <f>SUM(V7:Y13,V18)/8</f>
        <v>93.125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69.6875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4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3.0833333333333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404147190043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103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85</v>
      </c>
      <c r="O7" s="16"/>
      <c r="P7" s="16"/>
      <c r="Q7" s="16"/>
      <c r="R7" s="16">
        <v>87</v>
      </c>
      <c r="S7" s="16"/>
      <c r="T7" s="16"/>
      <c r="U7" s="16"/>
      <c r="V7" s="16">
        <v>86</v>
      </c>
      <c r="W7" s="16"/>
      <c r="X7" s="16"/>
      <c r="Y7" s="16"/>
      <c r="Z7" s="16"/>
      <c r="AA7" s="16"/>
      <c r="AB7" s="16"/>
      <c r="AC7" s="16"/>
      <c r="AD7" s="24">
        <f>SUM(N7:AC7)/4</f>
        <v>64.5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89</v>
      </c>
      <c r="O8" s="16"/>
      <c r="P8" s="16"/>
      <c r="Q8" s="16"/>
      <c r="R8" s="16">
        <v>87</v>
      </c>
      <c r="S8" s="16"/>
      <c r="T8" s="16"/>
      <c r="U8" s="16"/>
      <c r="V8" s="16">
        <v>94</v>
      </c>
      <c r="W8" s="16"/>
      <c r="X8" s="16"/>
      <c r="Y8" s="16"/>
      <c r="Z8" s="16"/>
      <c r="AA8" s="16"/>
      <c r="AB8" s="16"/>
      <c r="AC8" s="16"/>
      <c r="AD8" s="24">
        <f>SUM(N8:AC8)/4</f>
        <v>67.5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89</v>
      </c>
      <c r="O9" s="16"/>
      <c r="P9" s="16"/>
      <c r="Q9" s="16"/>
      <c r="R9" s="16">
        <v>88</v>
      </c>
      <c r="S9" s="16"/>
      <c r="T9" s="16"/>
      <c r="U9" s="16"/>
      <c r="V9" s="16">
        <v>93</v>
      </c>
      <c r="W9" s="16"/>
      <c r="X9" s="16"/>
      <c r="Y9" s="16"/>
      <c r="Z9" s="16"/>
      <c r="AA9" s="16"/>
      <c r="AB9" s="16"/>
      <c r="AC9" s="16"/>
      <c r="AD9" s="24">
        <f>SUM(N9:AC9)/4</f>
        <v>67.5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92</v>
      </c>
      <c r="O10" s="16"/>
      <c r="P10" s="16"/>
      <c r="Q10" s="16"/>
      <c r="R10" s="16">
        <v>95</v>
      </c>
      <c r="S10" s="16"/>
      <c r="T10" s="16"/>
      <c r="U10" s="16"/>
      <c r="V10" s="16">
        <v>96</v>
      </c>
      <c r="W10" s="16"/>
      <c r="X10" s="16"/>
      <c r="Y10" s="16"/>
      <c r="Z10" s="16"/>
      <c r="AA10" s="16"/>
      <c r="AB10" s="16"/>
      <c r="AC10" s="16"/>
      <c r="AD10" s="24">
        <f>SUM(N10:AC10)/4</f>
        <v>70.75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83</v>
      </c>
      <c r="O11" s="16"/>
      <c r="P11" s="16"/>
      <c r="Q11" s="16"/>
      <c r="R11" s="16">
        <v>95</v>
      </c>
      <c r="S11" s="16"/>
      <c r="T11" s="16"/>
      <c r="U11" s="16"/>
      <c r="V11" s="16">
        <v>94</v>
      </c>
      <c r="W11" s="16"/>
      <c r="X11" s="16"/>
      <c r="Y11" s="16"/>
      <c r="Z11" s="16"/>
      <c r="AA11" s="16"/>
      <c r="AB11" s="16"/>
      <c r="AC11" s="16"/>
      <c r="AD11" s="24">
        <f>SUM(N11:AC11)/4</f>
        <v>68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96</v>
      </c>
      <c r="O12" s="16"/>
      <c r="P12" s="16"/>
      <c r="Q12" s="16"/>
      <c r="R12" s="16">
        <v>94</v>
      </c>
      <c r="S12" s="16"/>
      <c r="T12" s="16"/>
      <c r="U12" s="16"/>
      <c r="V12" s="16">
        <v>97</v>
      </c>
      <c r="W12" s="16"/>
      <c r="X12" s="16"/>
      <c r="Y12" s="16"/>
      <c r="Z12" s="16"/>
      <c r="AA12" s="16"/>
      <c r="AB12" s="16"/>
      <c r="AC12" s="16"/>
      <c r="AD12" s="24">
        <f>SUM(N12:AC12)/4</f>
        <v>71.75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94</v>
      </c>
      <c r="O13" s="16"/>
      <c r="P13" s="16"/>
      <c r="Q13" s="16"/>
      <c r="R13" s="16">
        <v>95</v>
      </c>
      <c r="S13" s="16"/>
      <c r="T13" s="16"/>
      <c r="U13" s="16"/>
      <c r="V13" s="16">
        <v>96</v>
      </c>
      <c r="W13" s="16"/>
      <c r="X13" s="16"/>
      <c r="Y13" s="16"/>
      <c r="Z13" s="16"/>
      <c r="AA13" s="16"/>
      <c r="AB13" s="16"/>
      <c r="AC13" s="16"/>
      <c r="AD13" s="24">
        <f>SUM(N13:AC13)/4</f>
        <v>71.25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90</v>
      </c>
      <c r="O14" s="16"/>
      <c r="P14" s="16"/>
      <c r="Q14" s="16"/>
      <c r="R14" s="16">
        <v>93</v>
      </c>
      <c r="S14" s="16"/>
      <c r="T14" s="16"/>
      <c r="U14" s="16"/>
      <c r="V14" s="16">
        <v>90</v>
      </c>
      <c r="W14" s="16"/>
      <c r="X14" s="16"/>
      <c r="Y14" s="16"/>
      <c r="Z14" s="16"/>
      <c r="AA14" s="16"/>
      <c r="AB14" s="16"/>
      <c r="AC14" s="16"/>
      <c r="AD14" s="24">
        <f>SUM(N14:AC14)/4</f>
        <v>68.25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91</v>
      </c>
      <c r="O15" s="16"/>
      <c r="P15" s="16"/>
      <c r="Q15" s="16"/>
      <c r="R15" s="16">
        <v>92</v>
      </c>
      <c r="S15" s="16"/>
      <c r="T15" s="16"/>
      <c r="U15" s="16"/>
      <c r="V15" s="16">
        <v>95</v>
      </c>
      <c r="W15" s="16"/>
      <c r="X15" s="16"/>
      <c r="Y15" s="16"/>
      <c r="Z15" s="16"/>
      <c r="AA15" s="16"/>
      <c r="AB15" s="16"/>
      <c r="AC15" s="16"/>
      <c r="AD15" s="24">
        <f>SUM(N15:AC15)/4</f>
        <v>69.5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98</v>
      </c>
      <c r="O16" s="16"/>
      <c r="P16" s="16"/>
      <c r="Q16" s="16"/>
      <c r="R16" s="16">
        <v>98</v>
      </c>
      <c r="S16" s="16"/>
      <c r="T16" s="16"/>
      <c r="U16" s="16"/>
      <c r="V16" s="16">
        <v>99</v>
      </c>
      <c r="W16" s="16"/>
      <c r="X16" s="16"/>
      <c r="Y16" s="16"/>
      <c r="Z16" s="16"/>
      <c r="AA16" s="16"/>
      <c r="AB16" s="16"/>
      <c r="AC16" s="16"/>
      <c r="AD16" s="24">
        <f>SUM(N16:AC16)/4</f>
        <v>73.75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97</v>
      </c>
      <c r="O17" s="16"/>
      <c r="P17" s="16"/>
      <c r="Q17" s="16"/>
      <c r="R17" s="16">
        <v>96</v>
      </c>
      <c r="S17" s="16"/>
      <c r="T17" s="16"/>
      <c r="U17" s="16"/>
      <c r="V17" s="16">
        <v>99</v>
      </c>
      <c r="W17" s="16"/>
      <c r="X17" s="16"/>
      <c r="Y17" s="16"/>
      <c r="Z17" s="16"/>
      <c r="AA17" s="16"/>
      <c r="AB17" s="16"/>
      <c r="AC17" s="16"/>
      <c r="AD17" s="24">
        <f>SUM(N17:AC17)/4</f>
        <v>73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92</v>
      </c>
      <c r="O18" s="22"/>
      <c r="P18" s="22"/>
      <c r="Q18" s="23"/>
      <c r="R18" s="21">
        <v>92</v>
      </c>
      <c r="S18" s="22"/>
      <c r="T18" s="22"/>
      <c r="U18" s="23"/>
      <c r="V18" s="21">
        <v>95</v>
      </c>
      <c r="W18" s="22"/>
      <c r="X18" s="22"/>
      <c r="Y18" s="23"/>
      <c r="Z18" s="21"/>
      <c r="AA18" s="22"/>
      <c r="AB18" s="22"/>
      <c r="AC18" s="23"/>
      <c r="AD18" s="24">
        <f>SUM(N18:AC18)/4</f>
        <v>69.75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91.45</v>
      </c>
      <c r="O20" s="16"/>
      <c r="P20" s="16"/>
      <c r="Q20" s="16"/>
      <c r="R20" s="16">
        <v>89.7</v>
      </c>
      <c r="S20" s="16"/>
      <c r="T20" s="16"/>
      <c r="U20" s="16"/>
      <c r="V20" s="16">
        <v>92.6</v>
      </c>
      <c r="W20" s="16"/>
      <c r="X20" s="16"/>
      <c r="Y20" s="16"/>
      <c r="Z20" s="16"/>
      <c r="AA20" s="16"/>
      <c r="AB20" s="16"/>
      <c r="AC20" s="16"/>
      <c r="AD20" s="24">
        <f>SUM(N20:AC20)/4</f>
        <v>68.4375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90</v>
      </c>
      <c r="O21" s="60"/>
      <c r="P21" s="60"/>
      <c r="Q21" s="60"/>
      <c r="R21" s="60">
        <f>SUM(R7:U13,R18)/8</f>
        <v>91.625</v>
      </c>
      <c r="S21" s="60"/>
      <c r="T21" s="60"/>
      <c r="U21" s="60"/>
      <c r="V21" s="60">
        <f>SUM(V7:Y13,V18)/8</f>
        <v>93.875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68.875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/>
      <c r="S26" s="19"/>
      <c r="T26" s="19">
        <v>4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2</v>
      </c>
      <c r="Q32" s="19"/>
      <c r="R32" s="19">
        <v>2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2.9166666666667</v>
      </c>
      <c r="Q38" s="20"/>
      <c r="R38" s="20">
        <f>SUM(R26:S37)/12</f>
        <v>2.6666666666667</v>
      </c>
      <c r="S38" s="20"/>
      <c r="T38" s="20">
        <f>SUM(T26:U37)/12</f>
        <v>3.0833333333333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404147190044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104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88</v>
      </c>
      <c r="O7" s="16"/>
      <c r="P7" s="16"/>
      <c r="Q7" s="16"/>
      <c r="R7" s="16">
        <v>82</v>
      </c>
      <c r="S7" s="16"/>
      <c r="T7" s="16"/>
      <c r="U7" s="16"/>
      <c r="V7" s="16">
        <v>83</v>
      </c>
      <c r="W7" s="16"/>
      <c r="X7" s="16"/>
      <c r="Y7" s="16"/>
      <c r="Z7" s="16"/>
      <c r="AA7" s="16"/>
      <c r="AB7" s="16"/>
      <c r="AC7" s="16"/>
      <c r="AD7" s="24">
        <f>SUM(N7:AC7)/4</f>
        <v>63.25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81</v>
      </c>
      <c r="O8" s="16"/>
      <c r="P8" s="16"/>
      <c r="Q8" s="16"/>
      <c r="R8" s="16">
        <v>88</v>
      </c>
      <c r="S8" s="16"/>
      <c r="T8" s="16"/>
      <c r="U8" s="16"/>
      <c r="V8" s="16">
        <v>88</v>
      </c>
      <c r="W8" s="16"/>
      <c r="X8" s="16"/>
      <c r="Y8" s="16"/>
      <c r="Z8" s="16"/>
      <c r="AA8" s="16"/>
      <c r="AB8" s="16"/>
      <c r="AC8" s="16"/>
      <c r="AD8" s="24">
        <f>SUM(N8:AC8)/4</f>
        <v>64.25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80</v>
      </c>
      <c r="O9" s="16"/>
      <c r="P9" s="16"/>
      <c r="Q9" s="16"/>
      <c r="R9" s="16">
        <v>82</v>
      </c>
      <c r="S9" s="16"/>
      <c r="T9" s="16"/>
      <c r="U9" s="16"/>
      <c r="V9" s="16">
        <v>80</v>
      </c>
      <c r="W9" s="16"/>
      <c r="X9" s="16"/>
      <c r="Y9" s="16"/>
      <c r="Z9" s="16"/>
      <c r="AA9" s="16"/>
      <c r="AB9" s="16"/>
      <c r="AC9" s="16"/>
      <c r="AD9" s="24">
        <f>SUM(N9:AC9)/4</f>
        <v>60.5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78</v>
      </c>
      <c r="O10" s="16"/>
      <c r="P10" s="16"/>
      <c r="Q10" s="16"/>
      <c r="R10" s="16">
        <v>83</v>
      </c>
      <c r="S10" s="16"/>
      <c r="T10" s="16"/>
      <c r="U10" s="16"/>
      <c r="V10" s="16">
        <v>81</v>
      </c>
      <c r="W10" s="16"/>
      <c r="X10" s="16"/>
      <c r="Y10" s="16"/>
      <c r="Z10" s="16"/>
      <c r="AA10" s="16"/>
      <c r="AB10" s="16"/>
      <c r="AC10" s="16"/>
      <c r="AD10" s="24">
        <f>SUM(N10:AC10)/4</f>
        <v>60.5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82</v>
      </c>
      <c r="O11" s="16"/>
      <c r="P11" s="16"/>
      <c r="Q11" s="16"/>
      <c r="R11" s="16">
        <v>84</v>
      </c>
      <c r="S11" s="16"/>
      <c r="T11" s="16"/>
      <c r="U11" s="16"/>
      <c r="V11" s="16">
        <v>82</v>
      </c>
      <c r="W11" s="16"/>
      <c r="X11" s="16"/>
      <c r="Y11" s="16"/>
      <c r="Z11" s="16"/>
      <c r="AA11" s="16"/>
      <c r="AB11" s="16"/>
      <c r="AC11" s="16"/>
      <c r="AD11" s="24">
        <f>SUM(N11:AC11)/4</f>
        <v>62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94</v>
      </c>
      <c r="O12" s="16"/>
      <c r="P12" s="16"/>
      <c r="Q12" s="16"/>
      <c r="R12" s="16">
        <v>88</v>
      </c>
      <c r="S12" s="16"/>
      <c r="T12" s="16"/>
      <c r="U12" s="16"/>
      <c r="V12" s="16">
        <v>91</v>
      </c>
      <c r="W12" s="16"/>
      <c r="X12" s="16"/>
      <c r="Y12" s="16"/>
      <c r="Z12" s="16"/>
      <c r="AA12" s="16"/>
      <c r="AB12" s="16"/>
      <c r="AC12" s="16"/>
      <c r="AD12" s="24">
        <f>SUM(N12:AC12)/4</f>
        <v>68.25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92</v>
      </c>
      <c r="O13" s="16"/>
      <c r="P13" s="16"/>
      <c r="Q13" s="16"/>
      <c r="R13" s="16">
        <v>93</v>
      </c>
      <c r="S13" s="16"/>
      <c r="T13" s="16"/>
      <c r="U13" s="16"/>
      <c r="V13" s="16">
        <v>94</v>
      </c>
      <c r="W13" s="16"/>
      <c r="X13" s="16"/>
      <c r="Y13" s="16"/>
      <c r="Z13" s="16"/>
      <c r="AA13" s="16"/>
      <c r="AB13" s="16"/>
      <c r="AC13" s="16"/>
      <c r="AD13" s="24">
        <f>SUM(N13:AC13)/4</f>
        <v>69.75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93</v>
      </c>
      <c r="O14" s="16"/>
      <c r="P14" s="16"/>
      <c r="Q14" s="16"/>
      <c r="R14" s="16">
        <v>93</v>
      </c>
      <c r="S14" s="16"/>
      <c r="T14" s="16"/>
      <c r="U14" s="16"/>
      <c r="V14" s="16">
        <v>89</v>
      </c>
      <c r="W14" s="16"/>
      <c r="X14" s="16"/>
      <c r="Y14" s="16"/>
      <c r="Z14" s="16"/>
      <c r="AA14" s="16"/>
      <c r="AB14" s="16"/>
      <c r="AC14" s="16"/>
      <c r="AD14" s="24">
        <f>SUM(N14:AC14)/4</f>
        <v>68.75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91</v>
      </c>
      <c r="O15" s="16"/>
      <c r="P15" s="16"/>
      <c r="Q15" s="16"/>
      <c r="R15" s="16">
        <v>90</v>
      </c>
      <c r="S15" s="16"/>
      <c r="T15" s="16"/>
      <c r="U15" s="16"/>
      <c r="V15" s="16">
        <v>94</v>
      </c>
      <c r="W15" s="16"/>
      <c r="X15" s="16"/>
      <c r="Y15" s="16"/>
      <c r="Z15" s="16"/>
      <c r="AA15" s="16"/>
      <c r="AB15" s="16"/>
      <c r="AC15" s="16"/>
      <c r="AD15" s="24">
        <f>SUM(N15:AC15)/4</f>
        <v>68.75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98</v>
      </c>
      <c r="O16" s="16"/>
      <c r="P16" s="16"/>
      <c r="Q16" s="16"/>
      <c r="R16" s="16">
        <v>98</v>
      </c>
      <c r="S16" s="16"/>
      <c r="T16" s="16"/>
      <c r="U16" s="16"/>
      <c r="V16" s="16">
        <v>98</v>
      </c>
      <c r="W16" s="16"/>
      <c r="X16" s="16"/>
      <c r="Y16" s="16"/>
      <c r="Z16" s="16"/>
      <c r="AA16" s="16"/>
      <c r="AB16" s="16"/>
      <c r="AC16" s="16"/>
      <c r="AD16" s="24">
        <f>SUM(N16:AC16)/4</f>
        <v>73.5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86</v>
      </c>
      <c r="O17" s="16"/>
      <c r="P17" s="16"/>
      <c r="Q17" s="16"/>
      <c r="R17" s="16">
        <v>92</v>
      </c>
      <c r="S17" s="16"/>
      <c r="T17" s="16"/>
      <c r="U17" s="16"/>
      <c r="V17" s="16">
        <v>96</v>
      </c>
      <c r="W17" s="16"/>
      <c r="X17" s="16"/>
      <c r="Y17" s="16"/>
      <c r="Z17" s="16"/>
      <c r="AA17" s="16"/>
      <c r="AB17" s="16"/>
      <c r="AC17" s="16"/>
      <c r="AD17" s="24">
        <f>SUM(N17:AC17)/4</f>
        <v>68.5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94</v>
      </c>
      <c r="O18" s="22"/>
      <c r="P18" s="22"/>
      <c r="Q18" s="23"/>
      <c r="R18" s="21">
        <v>88</v>
      </c>
      <c r="S18" s="22"/>
      <c r="T18" s="22"/>
      <c r="U18" s="23"/>
      <c r="V18" s="21">
        <v>89</v>
      </c>
      <c r="W18" s="22"/>
      <c r="X18" s="22"/>
      <c r="Y18" s="23"/>
      <c r="Z18" s="21"/>
      <c r="AA18" s="22"/>
      <c r="AB18" s="22"/>
      <c r="AC18" s="23"/>
      <c r="AD18" s="24">
        <f>SUM(N18:AC18)/4</f>
        <v>67.75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88.75</v>
      </c>
      <c r="O20" s="16"/>
      <c r="P20" s="16"/>
      <c r="Q20" s="16"/>
      <c r="R20" s="16">
        <v>92.5</v>
      </c>
      <c r="S20" s="16"/>
      <c r="T20" s="16"/>
      <c r="U20" s="16"/>
      <c r="V20" s="16">
        <v>91.45</v>
      </c>
      <c r="W20" s="16"/>
      <c r="X20" s="16"/>
      <c r="Y20" s="16"/>
      <c r="Z20" s="16"/>
      <c r="AA20" s="16"/>
      <c r="AB20" s="16"/>
      <c r="AC20" s="16"/>
      <c r="AD20" s="24">
        <f>SUM(N20:AC20)/4</f>
        <v>68.175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86.125</v>
      </c>
      <c r="O21" s="60"/>
      <c r="P21" s="60"/>
      <c r="Q21" s="60"/>
      <c r="R21" s="60">
        <f>SUM(R7:U13,R18)/8</f>
        <v>86</v>
      </c>
      <c r="S21" s="60"/>
      <c r="T21" s="60"/>
      <c r="U21" s="60"/>
      <c r="V21" s="60">
        <f>SUM(V7:Y13,V18)/8</f>
        <v>86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64.53125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2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2.9166666666667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404147190061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105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88</v>
      </c>
      <c r="O7" s="16"/>
      <c r="P7" s="16"/>
      <c r="Q7" s="16"/>
      <c r="R7" s="16">
        <v>88</v>
      </c>
      <c r="S7" s="16"/>
      <c r="T7" s="16"/>
      <c r="U7" s="16"/>
      <c r="V7" s="16">
        <v>85</v>
      </c>
      <c r="W7" s="16"/>
      <c r="X7" s="16"/>
      <c r="Y7" s="16"/>
      <c r="Z7" s="16"/>
      <c r="AA7" s="16"/>
      <c r="AB7" s="16"/>
      <c r="AC7" s="16"/>
      <c r="AD7" s="24">
        <f>SUM(N7:AC7)/4</f>
        <v>65.25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93</v>
      </c>
      <c r="O8" s="16"/>
      <c r="P8" s="16"/>
      <c r="Q8" s="16"/>
      <c r="R8" s="16">
        <v>87</v>
      </c>
      <c r="S8" s="16"/>
      <c r="T8" s="16"/>
      <c r="U8" s="16"/>
      <c r="V8" s="16">
        <v>95</v>
      </c>
      <c r="W8" s="16"/>
      <c r="X8" s="16"/>
      <c r="Y8" s="16"/>
      <c r="Z8" s="16"/>
      <c r="AA8" s="16"/>
      <c r="AB8" s="16"/>
      <c r="AC8" s="16"/>
      <c r="AD8" s="24">
        <f>SUM(N8:AC8)/4</f>
        <v>68.75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87</v>
      </c>
      <c r="O9" s="16"/>
      <c r="P9" s="16"/>
      <c r="Q9" s="16"/>
      <c r="R9" s="16">
        <v>85</v>
      </c>
      <c r="S9" s="16"/>
      <c r="T9" s="16"/>
      <c r="U9" s="16"/>
      <c r="V9" s="16">
        <v>85</v>
      </c>
      <c r="W9" s="16"/>
      <c r="X9" s="16"/>
      <c r="Y9" s="16"/>
      <c r="Z9" s="16"/>
      <c r="AA9" s="16"/>
      <c r="AB9" s="16"/>
      <c r="AC9" s="16"/>
      <c r="AD9" s="24">
        <f>SUM(N9:AC9)/4</f>
        <v>64.25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85</v>
      </c>
      <c r="O10" s="16"/>
      <c r="P10" s="16"/>
      <c r="Q10" s="16"/>
      <c r="R10" s="16">
        <v>88</v>
      </c>
      <c r="S10" s="16"/>
      <c r="T10" s="16"/>
      <c r="U10" s="16"/>
      <c r="V10" s="16">
        <v>95</v>
      </c>
      <c r="W10" s="16"/>
      <c r="X10" s="16"/>
      <c r="Y10" s="16"/>
      <c r="Z10" s="16"/>
      <c r="AA10" s="16"/>
      <c r="AB10" s="16"/>
      <c r="AC10" s="16"/>
      <c r="AD10" s="24">
        <f>SUM(N10:AC10)/4</f>
        <v>67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85</v>
      </c>
      <c r="O11" s="16"/>
      <c r="P11" s="16"/>
      <c r="Q11" s="16"/>
      <c r="R11" s="16">
        <v>87</v>
      </c>
      <c r="S11" s="16"/>
      <c r="T11" s="16"/>
      <c r="U11" s="16"/>
      <c r="V11" s="16">
        <v>85</v>
      </c>
      <c r="W11" s="16"/>
      <c r="X11" s="16"/>
      <c r="Y11" s="16"/>
      <c r="Z11" s="16"/>
      <c r="AA11" s="16"/>
      <c r="AB11" s="16"/>
      <c r="AC11" s="16"/>
      <c r="AD11" s="24">
        <f>SUM(N11:AC11)/4</f>
        <v>64.25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96</v>
      </c>
      <c r="O12" s="16"/>
      <c r="P12" s="16"/>
      <c r="Q12" s="16"/>
      <c r="R12" s="16">
        <v>89</v>
      </c>
      <c r="S12" s="16"/>
      <c r="T12" s="16"/>
      <c r="U12" s="16"/>
      <c r="V12" s="16">
        <v>97</v>
      </c>
      <c r="W12" s="16"/>
      <c r="X12" s="16"/>
      <c r="Y12" s="16"/>
      <c r="Z12" s="16"/>
      <c r="AA12" s="16"/>
      <c r="AB12" s="16"/>
      <c r="AC12" s="16"/>
      <c r="AD12" s="24">
        <f>SUM(N12:AC12)/4</f>
        <v>70.5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96</v>
      </c>
      <c r="O13" s="16"/>
      <c r="P13" s="16"/>
      <c r="Q13" s="16"/>
      <c r="R13" s="16">
        <v>96</v>
      </c>
      <c r="S13" s="16"/>
      <c r="T13" s="16"/>
      <c r="U13" s="16"/>
      <c r="V13" s="16">
        <v>97</v>
      </c>
      <c r="W13" s="16"/>
      <c r="X13" s="16"/>
      <c r="Y13" s="16"/>
      <c r="Z13" s="16"/>
      <c r="AA13" s="16"/>
      <c r="AB13" s="16"/>
      <c r="AC13" s="16"/>
      <c r="AD13" s="24">
        <f>SUM(N13:AC13)/4</f>
        <v>72.25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96</v>
      </c>
      <c r="O14" s="16"/>
      <c r="P14" s="16"/>
      <c r="Q14" s="16"/>
      <c r="R14" s="16">
        <v>98</v>
      </c>
      <c r="S14" s="16"/>
      <c r="T14" s="16"/>
      <c r="U14" s="16"/>
      <c r="V14" s="16">
        <v>96</v>
      </c>
      <c r="W14" s="16"/>
      <c r="X14" s="16"/>
      <c r="Y14" s="16"/>
      <c r="Z14" s="16"/>
      <c r="AA14" s="16"/>
      <c r="AB14" s="16"/>
      <c r="AC14" s="16"/>
      <c r="AD14" s="24">
        <f>SUM(N14:AC14)/4</f>
        <v>72.5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94</v>
      </c>
      <c r="O15" s="16"/>
      <c r="P15" s="16"/>
      <c r="Q15" s="16"/>
      <c r="R15" s="16">
        <v>92</v>
      </c>
      <c r="S15" s="16"/>
      <c r="T15" s="16"/>
      <c r="U15" s="16"/>
      <c r="V15" s="16">
        <v>91</v>
      </c>
      <c r="W15" s="16"/>
      <c r="X15" s="16"/>
      <c r="Y15" s="16"/>
      <c r="Z15" s="16"/>
      <c r="AA15" s="16"/>
      <c r="AB15" s="16"/>
      <c r="AC15" s="16"/>
      <c r="AD15" s="24">
        <f>SUM(N15:AC15)/4</f>
        <v>69.25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98</v>
      </c>
      <c r="O16" s="16"/>
      <c r="P16" s="16"/>
      <c r="Q16" s="16"/>
      <c r="R16" s="16">
        <v>100</v>
      </c>
      <c r="S16" s="16"/>
      <c r="T16" s="16"/>
      <c r="U16" s="16"/>
      <c r="V16" s="16">
        <v>99</v>
      </c>
      <c r="W16" s="16"/>
      <c r="X16" s="16"/>
      <c r="Y16" s="16"/>
      <c r="Z16" s="16"/>
      <c r="AA16" s="16"/>
      <c r="AB16" s="16"/>
      <c r="AC16" s="16"/>
      <c r="AD16" s="24">
        <f>SUM(N16:AC16)/4</f>
        <v>74.25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96</v>
      </c>
      <c r="O17" s="16"/>
      <c r="P17" s="16"/>
      <c r="Q17" s="16"/>
      <c r="R17" s="16">
        <v>95</v>
      </c>
      <c r="S17" s="16"/>
      <c r="T17" s="16"/>
      <c r="U17" s="16"/>
      <c r="V17" s="16">
        <v>100</v>
      </c>
      <c r="W17" s="16"/>
      <c r="X17" s="16"/>
      <c r="Y17" s="16"/>
      <c r="Z17" s="16"/>
      <c r="AA17" s="16"/>
      <c r="AB17" s="16"/>
      <c r="AC17" s="16"/>
      <c r="AD17" s="24">
        <f>SUM(N17:AC17)/4</f>
        <v>72.75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92</v>
      </c>
      <c r="O18" s="22"/>
      <c r="P18" s="22"/>
      <c r="Q18" s="23"/>
      <c r="R18" s="21">
        <v>88</v>
      </c>
      <c r="S18" s="22"/>
      <c r="T18" s="22"/>
      <c r="U18" s="23"/>
      <c r="V18" s="21">
        <v>94</v>
      </c>
      <c r="W18" s="22"/>
      <c r="X18" s="22"/>
      <c r="Y18" s="23"/>
      <c r="Z18" s="21"/>
      <c r="AA18" s="22"/>
      <c r="AB18" s="22"/>
      <c r="AC18" s="23"/>
      <c r="AD18" s="24">
        <f>SUM(N18:AC18)/4</f>
        <v>68.5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97.75</v>
      </c>
      <c r="O20" s="16"/>
      <c r="P20" s="16"/>
      <c r="Q20" s="16"/>
      <c r="R20" s="16">
        <v>86</v>
      </c>
      <c r="S20" s="16"/>
      <c r="T20" s="16"/>
      <c r="U20" s="16"/>
      <c r="V20" s="16">
        <v>84.8</v>
      </c>
      <c r="W20" s="16"/>
      <c r="X20" s="16"/>
      <c r="Y20" s="16"/>
      <c r="Z20" s="16"/>
      <c r="AA20" s="16"/>
      <c r="AB20" s="16"/>
      <c r="AC20" s="16"/>
      <c r="AD20" s="24">
        <f>SUM(N20:AC20)/4</f>
        <v>67.1375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90.25</v>
      </c>
      <c r="O21" s="60"/>
      <c r="P21" s="60"/>
      <c r="Q21" s="60"/>
      <c r="R21" s="60">
        <f>SUM(R7:U13,R18)/8</f>
        <v>88.5</v>
      </c>
      <c r="S21" s="60"/>
      <c r="T21" s="60"/>
      <c r="U21" s="60"/>
      <c r="V21" s="60">
        <f>SUM(V7:Y13,V18)/8</f>
        <v>91.625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67.59375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2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2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2.8333333333333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441020190019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106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88</v>
      </c>
      <c r="O7" s="16"/>
      <c r="P7" s="16"/>
      <c r="Q7" s="16"/>
      <c r="R7" s="16">
        <v>88</v>
      </c>
      <c r="S7" s="16"/>
      <c r="T7" s="16"/>
      <c r="U7" s="16"/>
      <c r="V7" s="16">
        <v>85</v>
      </c>
      <c r="W7" s="16"/>
      <c r="X7" s="16"/>
      <c r="Y7" s="16"/>
      <c r="Z7" s="16"/>
      <c r="AA7" s="16"/>
      <c r="AB7" s="16"/>
      <c r="AC7" s="16"/>
      <c r="AD7" s="24">
        <f>SUM(N7:AC7)/4</f>
        <v>65.25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94</v>
      </c>
      <c r="O8" s="16"/>
      <c r="P8" s="16"/>
      <c r="Q8" s="16"/>
      <c r="R8" s="16">
        <v>90</v>
      </c>
      <c r="S8" s="16"/>
      <c r="T8" s="16"/>
      <c r="U8" s="16"/>
      <c r="V8" s="16">
        <v>91</v>
      </c>
      <c r="W8" s="16"/>
      <c r="X8" s="16"/>
      <c r="Y8" s="16"/>
      <c r="Z8" s="16"/>
      <c r="AA8" s="16"/>
      <c r="AB8" s="16"/>
      <c r="AC8" s="16"/>
      <c r="AD8" s="24">
        <f>SUM(N8:AC8)/4</f>
        <v>68.75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80</v>
      </c>
      <c r="O9" s="16"/>
      <c r="P9" s="16"/>
      <c r="Q9" s="16"/>
      <c r="R9" s="16">
        <v>81</v>
      </c>
      <c r="S9" s="16"/>
      <c r="T9" s="16"/>
      <c r="U9" s="16"/>
      <c r="V9" s="16">
        <v>81</v>
      </c>
      <c r="W9" s="16"/>
      <c r="X9" s="16"/>
      <c r="Y9" s="16"/>
      <c r="Z9" s="16"/>
      <c r="AA9" s="16"/>
      <c r="AB9" s="16"/>
      <c r="AC9" s="16"/>
      <c r="AD9" s="24">
        <f>SUM(N9:AC9)/4</f>
        <v>60.5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82</v>
      </c>
      <c r="O10" s="16"/>
      <c r="P10" s="16"/>
      <c r="Q10" s="16"/>
      <c r="R10" s="16">
        <v>85</v>
      </c>
      <c r="S10" s="16"/>
      <c r="T10" s="16"/>
      <c r="U10" s="16"/>
      <c r="V10" s="16">
        <v>83</v>
      </c>
      <c r="W10" s="16"/>
      <c r="X10" s="16"/>
      <c r="Y10" s="16"/>
      <c r="Z10" s="16"/>
      <c r="AA10" s="16"/>
      <c r="AB10" s="16"/>
      <c r="AC10" s="16"/>
      <c r="AD10" s="24">
        <f>SUM(N10:AC10)/4</f>
        <v>62.5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83</v>
      </c>
      <c r="O11" s="16"/>
      <c r="P11" s="16"/>
      <c r="Q11" s="16"/>
      <c r="R11" s="16">
        <v>89</v>
      </c>
      <c r="S11" s="16"/>
      <c r="T11" s="16"/>
      <c r="U11" s="16"/>
      <c r="V11" s="16">
        <v>84</v>
      </c>
      <c r="W11" s="16"/>
      <c r="X11" s="16"/>
      <c r="Y11" s="16"/>
      <c r="Z11" s="16"/>
      <c r="AA11" s="16"/>
      <c r="AB11" s="16"/>
      <c r="AC11" s="16"/>
      <c r="AD11" s="24">
        <f>SUM(N11:AC11)/4</f>
        <v>64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98</v>
      </c>
      <c r="O12" s="16"/>
      <c r="P12" s="16"/>
      <c r="Q12" s="16"/>
      <c r="R12" s="16">
        <v>93</v>
      </c>
      <c r="S12" s="16"/>
      <c r="T12" s="16"/>
      <c r="U12" s="16"/>
      <c r="V12" s="16">
        <v>96</v>
      </c>
      <c r="W12" s="16"/>
      <c r="X12" s="16"/>
      <c r="Y12" s="16"/>
      <c r="Z12" s="16"/>
      <c r="AA12" s="16"/>
      <c r="AB12" s="16"/>
      <c r="AC12" s="16"/>
      <c r="AD12" s="24">
        <f>SUM(N12:AC12)/4</f>
        <v>71.75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93</v>
      </c>
      <c r="O13" s="16"/>
      <c r="P13" s="16"/>
      <c r="Q13" s="16"/>
      <c r="R13" s="16">
        <v>94</v>
      </c>
      <c r="S13" s="16"/>
      <c r="T13" s="16"/>
      <c r="U13" s="16"/>
      <c r="V13" s="16">
        <v>94</v>
      </c>
      <c r="W13" s="16"/>
      <c r="X13" s="16"/>
      <c r="Y13" s="16"/>
      <c r="Z13" s="16"/>
      <c r="AA13" s="16"/>
      <c r="AB13" s="16"/>
      <c r="AC13" s="16"/>
      <c r="AD13" s="24">
        <f>SUM(N13:AC13)/4</f>
        <v>70.25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88</v>
      </c>
      <c r="O14" s="16"/>
      <c r="P14" s="16"/>
      <c r="Q14" s="16"/>
      <c r="R14" s="16">
        <v>89</v>
      </c>
      <c r="S14" s="16"/>
      <c r="T14" s="16"/>
      <c r="U14" s="16"/>
      <c r="V14" s="16">
        <v>89</v>
      </c>
      <c r="W14" s="16"/>
      <c r="X14" s="16"/>
      <c r="Y14" s="16"/>
      <c r="Z14" s="16"/>
      <c r="AA14" s="16"/>
      <c r="AB14" s="16"/>
      <c r="AC14" s="16"/>
      <c r="AD14" s="24">
        <f>SUM(N14:AC14)/4</f>
        <v>66.5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90</v>
      </c>
      <c r="O15" s="16"/>
      <c r="P15" s="16"/>
      <c r="Q15" s="16"/>
      <c r="R15" s="16">
        <v>91</v>
      </c>
      <c r="S15" s="16"/>
      <c r="T15" s="16"/>
      <c r="U15" s="16"/>
      <c r="V15" s="16">
        <v>91</v>
      </c>
      <c r="W15" s="16"/>
      <c r="X15" s="16"/>
      <c r="Y15" s="16"/>
      <c r="Z15" s="16"/>
      <c r="AA15" s="16"/>
      <c r="AB15" s="16"/>
      <c r="AC15" s="16"/>
      <c r="AD15" s="24">
        <f>SUM(N15:AC15)/4</f>
        <v>68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96</v>
      </c>
      <c r="O16" s="16"/>
      <c r="P16" s="16"/>
      <c r="Q16" s="16"/>
      <c r="R16" s="16">
        <v>96</v>
      </c>
      <c r="S16" s="16"/>
      <c r="T16" s="16"/>
      <c r="U16" s="16"/>
      <c r="V16" s="16">
        <v>97</v>
      </c>
      <c r="W16" s="16"/>
      <c r="X16" s="16"/>
      <c r="Y16" s="16"/>
      <c r="Z16" s="16"/>
      <c r="AA16" s="16"/>
      <c r="AB16" s="16"/>
      <c r="AC16" s="16"/>
      <c r="AD16" s="24">
        <f>SUM(N16:AC16)/4</f>
        <v>72.25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97</v>
      </c>
      <c r="O17" s="16"/>
      <c r="P17" s="16"/>
      <c r="Q17" s="16"/>
      <c r="R17" s="16">
        <v>98</v>
      </c>
      <c r="S17" s="16"/>
      <c r="T17" s="16"/>
      <c r="U17" s="16"/>
      <c r="V17" s="16">
        <v>99</v>
      </c>
      <c r="W17" s="16"/>
      <c r="X17" s="16"/>
      <c r="Y17" s="16"/>
      <c r="Z17" s="16"/>
      <c r="AA17" s="16"/>
      <c r="AB17" s="16"/>
      <c r="AC17" s="16"/>
      <c r="AD17" s="24">
        <f>SUM(N17:AC17)/4</f>
        <v>73.5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95</v>
      </c>
      <c r="O18" s="22"/>
      <c r="P18" s="22"/>
      <c r="Q18" s="23"/>
      <c r="R18" s="21">
        <v>93</v>
      </c>
      <c r="S18" s="22"/>
      <c r="T18" s="22"/>
      <c r="U18" s="23"/>
      <c r="V18" s="21">
        <v>93</v>
      </c>
      <c r="W18" s="22"/>
      <c r="X18" s="22"/>
      <c r="Y18" s="23"/>
      <c r="Z18" s="21"/>
      <c r="AA18" s="22"/>
      <c r="AB18" s="22"/>
      <c r="AC18" s="23"/>
      <c r="AD18" s="24">
        <f>SUM(N18:AC18)/4</f>
        <v>70.25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93.65</v>
      </c>
      <c r="O20" s="16"/>
      <c r="P20" s="16"/>
      <c r="Q20" s="16"/>
      <c r="R20" s="16">
        <v>86.7</v>
      </c>
      <c r="S20" s="16"/>
      <c r="T20" s="16"/>
      <c r="U20" s="16"/>
      <c r="V20" s="16">
        <v>85.95</v>
      </c>
      <c r="W20" s="16"/>
      <c r="X20" s="16"/>
      <c r="Y20" s="16"/>
      <c r="Z20" s="16"/>
      <c r="AA20" s="16"/>
      <c r="AB20" s="16"/>
      <c r="AC20" s="16"/>
      <c r="AD20" s="24">
        <f>SUM(N20:AC20)/4</f>
        <v>66.575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89.125</v>
      </c>
      <c r="O21" s="60"/>
      <c r="P21" s="60"/>
      <c r="Q21" s="60"/>
      <c r="R21" s="60">
        <f>SUM(R7:U13,R18)/8</f>
        <v>89.125</v>
      </c>
      <c r="S21" s="60"/>
      <c r="T21" s="60"/>
      <c r="U21" s="60"/>
      <c r="V21" s="60">
        <f>SUM(V7:Y13,V18)/8</f>
        <v>88.375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66.65625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</v>
      </c>
      <c r="S38" s="20"/>
      <c r="T38" s="20">
        <f>SUM(T26:U37)/12</f>
        <v>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441041190014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107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88</v>
      </c>
      <c r="O7" s="16"/>
      <c r="P7" s="16"/>
      <c r="Q7" s="16"/>
      <c r="R7" s="16">
        <v>90</v>
      </c>
      <c r="S7" s="16"/>
      <c r="T7" s="16"/>
      <c r="U7" s="16"/>
      <c r="V7" s="16">
        <v>87</v>
      </c>
      <c r="W7" s="16"/>
      <c r="X7" s="16"/>
      <c r="Y7" s="16"/>
      <c r="Z7" s="16"/>
      <c r="AA7" s="16"/>
      <c r="AB7" s="16"/>
      <c r="AC7" s="16"/>
      <c r="AD7" s="24">
        <f>SUM(N7:AC7)/4</f>
        <v>66.25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93</v>
      </c>
      <c r="O8" s="16"/>
      <c r="P8" s="16"/>
      <c r="Q8" s="16"/>
      <c r="R8" s="16">
        <v>90</v>
      </c>
      <c r="S8" s="16"/>
      <c r="T8" s="16"/>
      <c r="U8" s="16"/>
      <c r="V8" s="16">
        <v>95</v>
      </c>
      <c r="W8" s="16"/>
      <c r="X8" s="16"/>
      <c r="Y8" s="16"/>
      <c r="Z8" s="16"/>
      <c r="AA8" s="16"/>
      <c r="AB8" s="16"/>
      <c r="AC8" s="16"/>
      <c r="AD8" s="24">
        <f>SUM(N8:AC8)/4</f>
        <v>69.5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95</v>
      </c>
      <c r="O9" s="16"/>
      <c r="P9" s="16"/>
      <c r="Q9" s="16"/>
      <c r="R9" s="16">
        <v>93</v>
      </c>
      <c r="S9" s="16"/>
      <c r="T9" s="16"/>
      <c r="U9" s="16"/>
      <c r="V9" s="16">
        <v>91</v>
      </c>
      <c r="W9" s="16"/>
      <c r="X9" s="16"/>
      <c r="Y9" s="16"/>
      <c r="Z9" s="16"/>
      <c r="AA9" s="16"/>
      <c r="AB9" s="16"/>
      <c r="AC9" s="16"/>
      <c r="AD9" s="24">
        <f>SUM(N9:AC9)/4</f>
        <v>69.75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87</v>
      </c>
      <c r="O10" s="16"/>
      <c r="P10" s="16"/>
      <c r="Q10" s="16"/>
      <c r="R10" s="16">
        <v>94</v>
      </c>
      <c r="S10" s="16"/>
      <c r="T10" s="16"/>
      <c r="U10" s="16"/>
      <c r="V10" s="16">
        <v>93</v>
      </c>
      <c r="W10" s="16"/>
      <c r="X10" s="16"/>
      <c r="Y10" s="16"/>
      <c r="Z10" s="16"/>
      <c r="AA10" s="16"/>
      <c r="AB10" s="16"/>
      <c r="AC10" s="16"/>
      <c r="AD10" s="24">
        <f>SUM(N10:AC10)/4</f>
        <v>68.5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89</v>
      </c>
      <c r="O11" s="16"/>
      <c r="P11" s="16"/>
      <c r="Q11" s="16"/>
      <c r="R11" s="16">
        <v>90</v>
      </c>
      <c r="S11" s="16"/>
      <c r="T11" s="16"/>
      <c r="U11" s="16"/>
      <c r="V11" s="16">
        <v>89</v>
      </c>
      <c r="W11" s="16"/>
      <c r="X11" s="16"/>
      <c r="Y11" s="16"/>
      <c r="Z11" s="16"/>
      <c r="AA11" s="16"/>
      <c r="AB11" s="16"/>
      <c r="AC11" s="16"/>
      <c r="AD11" s="24">
        <f>SUM(N11:AC11)/4</f>
        <v>67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95</v>
      </c>
      <c r="O12" s="16"/>
      <c r="P12" s="16"/>
      <c r="Q12" s="16"/>
      <c r="R12" s="16">
        <v>94</v>
      </c>
      <c r="S12" s="16"/>
      <c r="T12" s="16"/>
      <c r="U12" s="16"/>
      <c r="V12" s="16">
        <v>95</v>
      </c>
      <c r="W12" s="16"/>
      <c r="X12" s="16"/>
      <c r="Y12" s="16"/>
      <c r="Z12" s="16"/>
      <c r="AA12" s="16"/>
      <c r="AB12" s="16"/>
      <c r="AC12" s="16"/>
      <c r="AD12" s="24">
        <f>SUM(N12:AC12)/4</f>
        <v>71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98</v>
      </c>
      <c r="O13" s="16"/>
      <c r="P13" s="16"/>
      <c r="Q13" s="16"/>
      <c r="R13" s="16">
        <v>97</v>
      </c>
      <c r="S13" s="16"/>
      <c r="T13" s="16"/>
      <c r="U13" s="16"/>
      <c r="V13" s="16">
        <v>96</v>
      </c>
      <c r="W13" s="16"/>
      <c r="X13" s="16"/>
      <c r="Y13" s="16"/>
      <c r="Z13" s="16"/>
      <c r="AA13" s="16"/>
      <c r="AB13" s="16"/>
      <c r="AC13" s="16"/>
      <c r="AD13" s="24">
        <f>SUM(N13:AC13)/4</f>
        <v>72.75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96</v>
      </c>
      <c r="O14" s="16"/>
      <c r="P14" s="16"/>
      <c r="Q14" s="16"/>
      <c r="R14" s="16">
        <v>94</v>
      </c>
      <c r="S14" s="16"/>
      <c r="T14" s="16"/>
      <c r="U14" s="16"/>
      <c r="V14" s="16">
        <v>90</v>
      </c>
      <c r="W14" s="16"/>
      <c r="X14" s="16"/>
      <c r="Y14" s="16"/>
      <c r="Z14" s="16"/>
      <c r="AA14" s="16"/>
      <c r="AB14" s="16"/>
      <c r="AC14" s="16"/>
      <c r="AD14" s="24">
        <f>SUM(N14:AC14)/4</f>
        <v>70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99</v>
      </c>
      <c r="O15" s="16"/>
      <c r="P15" s="16"/>
      <c r="Q15" s="16"/>
      <c r="R15" s="16">
        <v>98</v>
      </c>
      <c r="S15" s="16"/>
      <c r="T15" s="16"/>
      <c r="U15" s="16"/>
      <c r="V15" s="16">
        <v>98</v>
      </c>
      <c r="W15" s="16"/>
      <c r="X15" s="16"/>
      <c r="Y15" s="16"/>
      <c r="Z15" s="16"/>
      <c r="AA15" s="16"/>
      <c r="AB15" s="16"/>
      <c r="AC15" s="16"/>
      <c r="AD15" s="24">
        <f>SUM(N15:AC15)/4</f>
        <v>73.75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98</v>
      </c>
      <c r="O16" s="16"/>
      <c r="P16" s="16"/>
      <c r="Q16" s="16"/>
      <c r="R16" s="16">
        <v>98</v>
      </c>
      <c r="S16" s="16"/>
      <c r="T16" s="16"/>
      <c r="U16" s="16"/>
      <c r="V16" s="16">
        <v>98</v>
      </c>
      <c r="W16" s="16"/>
      <c r="X16" s="16"/>
      <c r="Y16" s="16"/>
      <c r="Z16" s="16"/>
      <c r="AA16" s="16"/>
      <c r="AB16" s="16"/>
      <c r="AC16" s="16"/>
      <c r="AD16" s="24">
        <f>SUM(N16:AC16)/4</f>
        <v>73.5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98</v>
      </c>
      <c r="O17" s="16"/>
      <c r="P17" s="16"/>
      <c r="Q17" s="16"/>
      <c r="R17" s="16">
        <v>99</v>
      </c>
      <c r="S17" s="16"/>
      <c r="T17" s="16"/>
      <c r="U17" s="16"/>
      <c r="V17" s="16">
        <v>98</v>
      </c>
      <c r="W17" s="16"/>
      <c r="X17" s="16"/>
      <c r="Y17" s="16"/>
      <c r="Z17" s="16"/>
      <c r="AA17" s="16"/>
      <c r="AB17" s="16"/>
      <c r="AC17" s="16"/>
      <c r="AD17" s="24">
        <f>SUM(N17:AC17)/4</f>
        <v>73.75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94</v>
      </c>
      <c r="O18" s="22"/>
      <c r="P18" s="22"/>
      <c r="Q18" s="23"/>
      <c r="R18" s="21">
        <v>91</v>
      </c>
      <c r="S18" s="22"/>
      <c r="T18" s="22"/>
      <c r="U18" s="23"/>
      <c r="V18" s="21">
        <v>98</v>
      </c>
      <c r="W18" s="22"/>
      <c r="X18" s="22"/>
      <c r="Y18" s="23"/>
      <c r="Z18" s="21"/>
      <c r="AA18" s="22"/>
      <c r="AB18" s="22"/>
      <c r="AC18" s="23"/>
      <c r="AD18" s="24">
        <f>SUM(N18:AC18)/4</f>
        <v>70.75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96</v>
      </c>
      <c r="O20" s="16"/>
      <c r="P20" s="16"/>
      <c r="Q20" s="16"/>
      <c r="R20" s="16">
        <v>94.3</v>
      </c>
      <c r="S20" s="16"/>
      <c r="T20" s="16"/>
      <c r="U20" s="16"/>
      <c r="V20" s="16">
        <v>87.15</v>
      </c>
      <c r="W20" s="16"/>
      <c r="X20" s="16"/>
      <c r="Y20" s="16"/>
      <c r="Z20" s="16"/>
      <c r="AA20" s="16"/>
      <c r="AB20" s="16"/>
      <c r="AC20" s="16"/>
      <c r="AD20" s="24">
        <f>SUM(N20:AC20)/4</f>
        <v>69.3625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92.375</v>
      </c>
      <c r="O21" s="60"/>
      <c r="P21" s="60"/>
      <c r="Q21" s="60"/>
      <c r="R21" s="60">
        <f>SUM(R7:U13,R18)/8</f>
        <v>92.375</v>
      </c>
      <c r="S21" s="60"/>
      <c r="T21" s="60"/>
      <c r="U21" s="60"/>
      <c r="V21" s="60">
        <f>SUM(V7:Y13,V18)/8</f>
        <v>93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69.4375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3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3</v>
      </c>
      <c r="S29" s="19"/>
      <c r="T29" s="19">
        <v>3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2</v>
      </c>
      <c r="S32" s="19"/>
      <c r="T32" s="19">
        <v>3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2.9166666666667</v>
      </c>
      <c r="S38" s="20"/>
      <c r="T38" s="20">
        <f>SUM(T26:U37)/12</f>
        <v>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4"/>
  <sheetViews>
    <sheetView tabSelected="0" workbookViewId="0" view="pageLayout" showGridLines="true" showRowColHeaders="1" topLeftCell="A7">
      <selection activeCell="AJ20" sqref="AJ20:AN20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40" customHeight="1" ht="12.95">
      <c r="A2" s="32" t="s">
        <v>1</v>
      </c>
      <c r="B2" s="32"/>
      <c r="C2" s="32"/>
      <c r="D2" s="37">
        <v>404147190018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2" t="s">
        <v>2</v>
      </c>
      <c r="R2" s="32"/>
      <c r="S2" s="32"/>
      <c r="T2" s="32"/>
      <c r="U2" s="32"/>
      <c r="V2" s="32"/>
      <c r="W2" s="32"/>
      <c r="X2" s="32"/>
      <c r="Y2" s="32"/>
      <c r="Z2" s="32"/>
    </row>
    <row r="3" spans="1:40" customHeight="1" ht="12.95">
      <c r="A3" s="35" t="s">
        <v>3</v>
      </c>
      <c r="B3" s="35"/>
      <c r="C3" s="35"/>
      <c r="D3" s="35"/>
      <c r="E3" s="36" t="s">
        <v>108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 t="s">
        <v>4</v>
      </c>
      <c r="W3" s="34"/>
      <c r="X3" s="34"/>
      <c r="Y3" s="34"/>
      <c r="Z3" s="36" t="s">
        <v>72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customHeight="1" ht="12.95">
      <c r="A4" s="33" t="s">
        <v>5</v>
      </c>
      <c r="B4" s="33"/>
      <c r="C4" s="33"/>
      <c r="D4" s="33"/>
      <c r="E4" s="33"/>
      <c r="F4" s="33"/>
      <c r="G4" s="38" t="s">
        <v>73</v>
      </c>
      <c r="H4" s="38"/>
      <c r="I4" s="38"/>
      <c r="J4" s="38"/>
      <c r="K4" s="38"/>
      <c r="L4" s="38"/>
      <c r="M4" s="38"/>
      <c r="N4" s="38"/>
      <c r="O4" s="38"/>
      <c r="P4" s="38"/>
      <c r="Q4" s="33" t="s">
        <v>6</v>
      </c>
      <c r="R4" s="33"/>
      <c r="S4" s="33"/>
      <c r="T4" s="33"/>
      <c r="U4" s="38" t="s">
        <v>74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3" t="s">
        <v>75</v>
      </c>
      <c r="AI4" s="33"/>
      <c r="AJ4" s="33"/>
      <c r="AK4" s="33"/>
      <c r="AL4" s="33"/>
      <c r="AM4" s="33"/>
      <c r="AN4" s="33"/>
    </row>
    <row r="5" spans="1:40" customHeight="1" ht="12.95">
      <c r="A5" s="45" t="s">
        <v>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  <c r="N5" s="50" t="s">
        <v>8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39" t="s">
        <v>9</v>
      </c>
      <c r="AE5" s="40"/>
      <c r="AF5" s="40"/>
      <c r="AG5" s="40"/>
      <c r="AH5" s="40"/>
      <c r="AI5" s="41"/>
      <c r="AJ5" s="39" t="s">
        <v>10</v>
      </c>
      <c r="AK5" s="40"/>
      <c r="AL5" s="40"/>
      <c r="AM5" s="40"/>
      <c r="AN5" s="41"/>
    </row>
    <row r="6" spans="1:40" customHeight="1" ht="12.95">
      <c r="A6" s="48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49"/>
      <c r="N6" s="16" t="s">
        <v>11</v>
      </c>
      <c r="O6" s="16"/>
      <c r="P6" s="16"/>
      <c r="Q6" s="16"/>
      <c r="R6" s="16" t="s">
        <v>12</v>
      </c>
      <c r="S6" s="16"/>
      <c r="T6" s="16"/>
      <c r="U6" s="16"/>
      <c r="V6" s="16" t="s">
        <v>13</v>
      </c>
      <c r="W6" s="16"/>
      <c r="X6" s="16"/>
      <c r="Y6" s="16"/>
      <c r="Z6" s="16" t="s">
        <v>14</v>
      </c>
      <c r="AA6" s="16"/>
      <c r="AB6" s="16"/>
      <c r="AC6" s="16"/>
      <c r="AD6" s="42"/>
      <c r="AE6" s="43"/>
      <c r="AF6" s="43"/>
      <c r="AG6" s="43"/>
      <c r="AH6" s="43"/>
      <c r="AI6" s="44"/>
      <c r="AJ6" s="42"/>
      <c r="AK6" s="43"/>
      <c r="AL6" s="43"/>
      <c r="AM6" s="43"/>
      <c r="AN6" s="44"/>
    </row>
    <row r="7" spans="1:40" customHeight="1" ht="12.95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>
        <v>88</v>
      </c>
      <c r="O7" s="16"/>
      <c r="P7" s="16"/>
      <c r="Q7" s="16"/>
      <c r="R7" s="16">
        <v>93</v>
      </c>
      <c r="S7" s="16"/>
      <c r="T7" s="16"/>
      <c r="U7" s="16"/>
      <c r="V7" s="16">
        <v>91</v>
      </c>
      <c r="W7" s="16"/>
      <c r="X7" s="16"/>
      <c r="Y7" s="16"/>
      <c r="Z7" s="16"/>
      <c r="AA7" s="16"/>
      <c r="AB7" s="16"/>
      <c r="AC7" s="16"/>
      <c r="AD7" s="24">
        <f>SUM(N7:AC7)/4</f>
        <v>68</v>
      </c>
      <c r="AE7" s="25"/>
      <c r="AF7" s="25"/>
      <c r="AG7" s="25"/>
      <c r="AH7" s="25"/>
      <c r="AI7" s="26"/>
      <c r="AJ7" s="21"/>
      <c r="AK7" s="22"/>
      <c r="AL7" s="22"/>
      <c r="AM7" s="22"/>
      <c r="AN7" s="23"/>
    </row>
    <row r="8" spans="1:40" customHeight="1" ht="12.95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>
        <v>96</v>
      </c>
      <c r="O8" s="16"/>
      <c r="P8" s="16"/>
      <c r="Q8" s="16"/>
      <c r="R8" s="16">
        <v>92</v>
      </c>
      <c r="S8" s="16"/>
      <c r="T8" s="16"/>
      <c r="U8" s="16"/>
      <c r="V8" s="16">
        <v>95</v>
      </c>
      <c r="W8" s="16"/>
      <c r="X8" s="16"/>
      <c r="Y8" s="16"/>
      <c r="Z8" s="16"/>
      <c r="AA8" s="16"/>
      <c r="AB8" s="16"/>
      <c r="AC8" s="16"/>
      <c r="AD8" s="24">
        <f>SUM(N8:AC8)/4</f>
        <v>70.75</v>
      </c>
      <c r="AE8" s="25"/>
      <c r="AF8" s="25"/>
      <c r="AG8" s="25"/>
      <c r="AH8" s="25"/>
      <c r="AI8" s="26"/>
      <c r="AJ8" s="21"/>
      <c r="AK8" s="22"/>
      <c r="AL8" s="22"/>
      <c r="AM8" s="22"/>
      <c r="AN8" s="23"/>
    </row>
    <row r="9" spans="1:40" customHeight="1" ht="12.95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>
        <v>85</v>
      </c>
      <c r="O9" s="16"/>
      <c r="P9" s="16"/>
      <c r="Q9" s="16"/>
      <c r="R9" s="16">
        <v>92</v>
      </c>
      <c r="S9" s="16"/>
      <c r="T9" s="16"/>
      <c r="U9" s="16"/>
      <c r="V9" s="16">
        <v>90</v>
      </c>
      <c r="W9" s="16"/>
      <c r="X9" s="16"/>
      <c r="Y9" s="16"/>
      <c r="Z9" s="16"/>
      <c r="AA9" s="16"/>
      <c r="AB9" s="16"/>
      <c r="AC9" s="16"/>
      <c r="AD9" s="24">
        <f>SUM(N9:AC9)/4</f>
        <v>66.75</v>
      </c>
      <c r="AE9" s="25"/>
      <c r="AF9" s="25"/>
      <c r="AG9" s="25"/>
      <c r="AH9" s="25"/>
      <c r="AI9" s="26"/>
      <c r="AJ9" s="21"/>
      <c r="AK9" s="22"/>
      <c r="AL9" s="22"/>
      <c r="AM9" s="22"/>
      <c r="AN9" s="23"/>
    </row>
    <row r="10" spans="1:40" customHeight="1" ht="12.95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>
        <v>86</v>
      </c>
      <c r="O10" s="16"/>
      <c r="P10" s="16"/>
      <c r="Q10" s="16"/>
      <c r="R10" s="16">
        <v>98</v>
      </c>
      <c r="S10" s="16"/>
      <c r="T10" s="16"/>
      <c r="U10" s="16"/>
      <c r="V10" s="16">
        <v>94</v>
      </c>
      <c r="W10" s="16"/>
      <c r="X10" s="16"/>
      <c r="Y10" s="16"/>
      <c r="Z10" s="16"/>
      <c r="AA10" s="16"/>
      <c r="AB10" s="16"/>
      <c r="AC10" s="16"/>
      <c r="AD10" s="24">
        <f>SUM(N10:AC10)/4</f>
        <v>69.5</v>
      </c>
      <c r="AE10" s="25"/>
      <c r="AF10" s="25"/>
      <c r="AG10" s="25"/>
      <c r="AH10" s="25"/>
      <c r="AI10" s="26"/>
      <c r="AJ10" s="21"/>
      <c r="AK10" s="22"/>
      <c r="AL10" s="22"/>
      <c r="AM10" s="22"/>
      <c r="AN10" s="23"/>
    </row>
    <row r="11" spans="1:40" customHeight="1" ht="12.95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>
        <v>88</v>
      </c>
      <c r="O11" s="16"/>
      <c r="P11" s="16"/>
      <c r="Q11" s="16"/>
      <c r="R11" s="16">
        <v>92</v>
      </c>
      <c r="S11" s="16"/>
      <c r="T11" s="16"/>
      <c r="U11" s="16"/>
      <c r="V11" s="16">
        <v>95</v>
      </c>
      <c r="W11" s="16"/>
      <c r="X11" s="16"/>
      <c r="Y11" s="16"/>
      <c r="Z11" s="16"/>
      <c r="AA11" s="16"/>
      <c r="AB11" s="16"/>
      <c r="AC11" s="16"/>
      <c r="AD11" s="24">
        <f>SUM(N11:AC11)/4</f>
        <v>68.75</v>
      </c>
      <c r="AE11" s="25"/>
      <c r="AF11" s="25"/>
      <c r="AG11" s="25"/>
      <c r="AH11" s="25"/>
      <c r="AI11" s="26"/>
      <c r="AJ11" s="21"/>
      <c r="AK11" s="22"/>
      <c r="AL11" s="22"/>
      <c r="AM11" s="22"/>
      <c r="AN11" s="23"/>
    </row>
    <row r="12" spans="1:40" customHeight="1" ht="12.95">
      <c r="A12" s="30" t="s">
        <v>20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6">
        <v>98</v>
      </c>
      <c r="O12" s="16"/>
      <c r="P12" s="16"/>
      <c r="Q12" s="16"/>
      <c r="R12" s="16">
        <v>97</v>
      </c>
      <c r="S12" s="16"/>
      <c r="T12" s="16"/>
      <c r="U12" s="16"/>
      <c r="V12" s="16">
        <v>98</v>
      </c>
      <c r="W12" s="16"/>
      <c r="X12" s="16"/>
      <c r="Y12" s="16"/>
      <c r="Z12" s="16"/>
      <c r="AA12" s="16"/>
      <c r="AB12" s="16"/>
      <c r="AC12" s="16"/>
      <c r="AD12" s="24">
        <f>SUM(N12:AC12)/4</f>
        <v>73.25</v>
      </c>
      <c r="AE12" s="25"/>
      <c r="AF12" s="25"/>
      <c r="AG12" s="25"/>
      <c r="AH12" s="25"/>
      <c r="AI12" s="26"/>
      <c r="AJ12" s="21"/>
      <c r="AK12" s="22"/>
      <c r="AL12" s="22"/>
      <c r="AM12" s="22"/>
      <c r="AN12" s="23"/>
    </row>
    <row r="13" spans="1:40" customHeight="1" ht="12.9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>
        <v>97</v>
      </c>
      <c r="O13" s="16"/>
      <c r="P13" s="16"/>
      <c r="Q13" s="16"/>
      <c r="R13" s="16">
        <v>98</v>
      </c>
      <c r="S13" s="16"/>
      <c r="T13" s="16"/>
      <c r="U13" s="16"/>
      <c r="V13" s="16">
        <v>97</v>
      </c>
      <c r="W13" s="16"/>
      <c r="X13" s="16"/>
      <c r="Y13" s="16"/>
      <c r="Z13" s="16"/>
      <c r="AA13" s="16"/>
      <c r="AB13" s="16"/>
      <c r="AC13" s="16"/>
      <c r="AD13" s="24">
        <f>SUM(N13:AC13)/4</f>
        <v>73</v>
      </c>
      <c r="AE13" s="25"/>
      <c r="AF13" s="25"/>
      <c r="AG13" s="25"/>
      <c r="AH13" s="25"/>
      <c r="AI13" s="26"/>
      <c r="AJ13" s="21"/>
      <c r="AK13" s="22"/>
      <c r="AL13" s="22"/>
      <c r="AM13" s="22"/>
      <c r="AN13" s="23"/>
    </row>
    <row r="14" spans="1:40" customHeight="1" ht="12.95">
      <c r="A14" s="6"/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23">
        <v>94</v>
      </c>
      <c r="O14" s="16"/>
      <c r="P14" s="16"/>
      <c r="Q14" s="16"/>
      <c r="R14" s="16">
        <v>98</v>
      </c>
      <c r="S14" s="16"/>
      <c r="T14" s="16"/>
      <c r="U14" s="16"/>
      <c r="V14" s="16">
        <v>94</v>
      </c>
      <c r="W14" s="16"/>
      <c r="X14" s="16"/>
      <c r="Y14" s="16"/>
      <c r="Z14" s="16"/>
      <c r="AA14" s="16"/>
      <c r="AB14" s="16"/>
      <c r="AC14" s="16"/>
      <c r="AD14" s="24">
        <f>SUM(N14:AC14)/4</f>
        <v>71.5</v>
      </c>
      <c r="AE14" s="25"/>
      <c r="AF14" s="25"/>
      <c r="AG14" s="25"/>
      <c r="AH14" s="25"/>
      <c r="AI14" s="26"/>
      <c r="AJ14" s="21"/>
      <c r="AK14" s="22"/>
      <c r="AL14" s="22"/>
      <c r="AM14" s="22"/>
      <c r="AN14" s="23"/>
    </row>
    <row r="15" spans="1:40" customHeight="1" ht="12.95">
      <c r="A15" s="6"/>
      <c r="B15" s="12" t="s">
        <v>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23">
        <v>94</v>
      </c>
      <c r="O15" s="16"/>
      <c r="P15" s="16"/>
      <c r="Q15" s="16"/>
      <c r="R15" s="16">
        <v>98</v>
      </c>
      <c r="S15" s="16"/>
      <c r="T15" s="16"/>
      <c r="U15" s="16"/>
      <c r="V15" s="16">
        <v>98</v>
      </c>
      <c r="W15" s="16"/>
      <c r="X15" s="16"/>
      <c r="Y15" s="16"/>
      <c r="Z15" s="16"/>
      <c r="AA15" s="16"/>
      <c r="AB15" s="16"/>
      <c r="AC15" s="16"/>
      <c r="AD15" s="24">
        <f>SUM(N15:AC15)/4</f>
        <v>72.5</v>
      </c>
      <c r="AE15" s="25"/>
      <c r="AF15" s="25"/>
      <c r="AG15" s="25"/>
      <c r="AH15" s="25"/>
      <c r="AI15" s="26"/>
      <c r="AJ15" s="21"/>
      <c r="AK15" s="22"/>
      <c r="AL15" s="22"/>
      <c r="AM15" s="22"/>
      <c r="AN15" s="23"/>
    </row>
    <row r="16" spans="1:40" customHeight="1" ht="12.95">
      <c r="A16" s="6"/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23">
        <v>99</v>
      </c>
      <c r="O16" s="16"/>
      <c r="P16" s="16"/>
      <c r="Q16" s="16"/>
      <c r="R16" s="16">
        <v>98</v>
      </c>
      <c r="S16" s="16"/>
      <c r="T16" s="16"/>
      <c r="U16" s="16"/>
      <c r="V16" s="16">
        <v>98</v>
      </c>
      <c r="W16" s="16"/>
      <c r="X16" s="16"/>
      <c r="Y16" s="16"/>
      <c r="Z16" s="16"/>
      <c r="AA16" s="16"/>
      <c r="AB16" s="16"/>
      <c r="AC16" s="16"/>
      <c r="AD16" s="24">
        <f>SUM(N16:AC16)/4</f>
        <v>73.75</v>
      </c>
      <c r="AE16" s="25"/>
      <c r="AF16" s="25"/>
      <c r="AG16" s="25"/>
      <c r="AH16" s="25"/>
      <c r="AI16" s="26"/>
      <c r="AJ16" s="21"/>
      <c r="AK16" s="22"/>
      <c r="AL16" s="22"/>
      <c r="AM16" s="22"/>
      <c r="AN16" s="23"/>
    </row>
    <row r="17" spans="1:40" customHeight="1" ht="12.95">
      <c r="A17" s="6"/>
      <c r="B17" s="12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6">
        <v>99</v>
      </c>
      <c r="O17" s="16"/>
      <c r="P17" s="16"/>
      <c r="Q17" s="16"/>
      <c r="R17" s="16">
        <v>99</v>
      </c>
      <c r="S17" s="16"/>
      <c r="T17" s="16"/>
      <c r="U17" s="16"/>
      <c r="V17" s="16">
        <v>99</v>
      </c>
      <c r="W17" s="16"/>
      <c r="X17" s="16"/>
      <c r="Y17" s="16"/>
      <c r="Z17" s="16"/>
      <c r="AA17" s="16"/>
      <c r="AB17" s="16"/>
      <c r="AC17" s="16"/>
      <c r="AD17" s="24">
        <f>SUM(N17:AC17)/4</f>
        <v>74.25</v>
      </c>
      <c r="AE17" s="25"/>
      <c r="AF17" s="25"/>
      <c r="AG17" s="25"/>
      <c r="AH17" s="25"/>
      <c r="AI17" s="26"/>
      <c r="AJ17" s="21"/>
      <c r="AK17" s="22"/>
      <c r="AL17" s="22"/>
      <c r="AM17" s="22"/>
      <c r="AN17" s="23"/>
    </row>
    <row r="18" spans="1:40" customHeight="1" ht="12.9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21">
        <v>97</v>
      </c>
      <c r="O18" s="22"/>
      <c r="P18" s="22"/>
      <c r="Q18" s="23"/>
      <c r="R18" s="21">
        <v>98</v>
      </c>
      <c r="S18" s="22"/>
      <c r="T18" s="22"/>
      <c r="U18" s="23"/>
      <c r="V18" s="21">
        <v>97</v>
      </c>
      <c r="W18" s="22"/>
      <c r="X18" s="22"/>
      <c r="Y18" s="23"/>
      <c r="Z18" s="21"/>
      <c r="AA18" s="22"/>
      <c r="AB18" s="22"/>
      <c r="AC18" s="23"/>
      <c r="AD18" s="24">
        <f>SUM(N18:AC18)/4</f>
        <v>73</v>
      </c>
      <c r="AE18" s="25"/>
      <c r="AF18" s="25"/>
      <c r="AG18" s="25"/>
      <c r="AH18" s="25"/>
      <c r="AI18" s="26"/>
      <c r="AJ18" s="21"/>
      <c r="AK18" s="22"/>
      <c r="AL18" s="22"/>
      <c r="AM18" s="22"/>
      <c r="AN18" s="23"/>
    </row>
    <row r="19" spans="1:40" customHeight="1" ht="12.9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24"/>
      <c r="AE19" s="25"/>
      <c r="AF19" s="25"/>
      <c r="AG19" s="25"/>
      <c r="AH19" s="25"/>
      <c r="AI19" s="26"/>
      <c r="AJ19" s="21"/>
      <c r="AK19" s="22"/>
      <c r="AL19" s="22"/>
      <c r="AM19" s="22"/>
      <c r="AN19" s="23"/>
    </row>
    <row r="20" spans="1:40" customHeight="1" ht="12.95">
      <c r="A20" s="14" t="s">
        <v>28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94.8</v>
      </c>
      <c r="O20" s="16"/>
      <c r="P20" s="16"/>
      <c r="Q20" s="16"/>
      <c r="R20" s="16">
        <v>95.4</v>
      </c>
      <c r="S20" s="16"/>
      <c r="T20" s="16"/>
      <c r="U20" s="16"/>
      <c r="V20" s="16">
        <v>86.3</v>
      </c>
      <c r="W20" s="16"/>
      <c r="X20" s="16"/>
      <c r="Y20" s="16"/>
      <c r="Z20" s="16"/>
      <c r="AA20" s="16"/>
      <c r="AB20" s="16"/>
      <c r="AC20" s="16"/>
      <c r="AD20" s="24">
        <f>SUM(N20:AC20)/4</f>
        <v>69.125</v>
      </c>
      <c r="AE20" s="25"/>
      <c r="AF20" s="25"/>
      <c r="AG20" s="25"/>
      <c r="AH20" s="25"/>
      <c r="AI20" s="26"/>
      <c r="AJ20" s="21"/>
      <c r="AK20" s="22"/>
      <c r="AL20" s="22"/>
      <c r="AM20" s="22"/>
      <c r="AN20" s="23"/>
    </row>
    <row r="21" spans="1:40" customHeight="1" ht="12.95">
      <c r="A21" s="6"/>
      <c r="B21" s="7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0">
        <f>SUM(N7:Q13,N18)/8</f>
        <v>91.875</v>
      </c>
      <c r="O21" s="60"/>
      <c r="P21" s="60"/>
      <c r="Q21" s="60"/>
      <c r="R21" s="60">
        <f>SUM(R7:U13,R18)/8</f>
        <v>95</v>
      </c>
      <c r="S21" s="60"/>
      <c r="T21" s="60"/>
      <c r="U21" s="60"/>
      <c r="V21" s="60">
        <f>SUM(V7:Y13,V18)/8</f>
        <v>94.625</v>
      </c>
      <c r="W21" s="60"/>
      <c r="X21" s="60"/>
      <c r="Y21" s="60"/>
      <c r="Z21" s="60">
        <f>SUM(Z7:AC13,Z18)/8</f>
        <v>0</v>
      </c>
      <c r="AA21" s="60"/>
      <c r="AB21" s="60"/>
      <c r="AC21" s="60"/>
      <c r="AD21" s="55"/>
      <c r="AE21" s="56"/>
      <c r="AF21" s="56"/>
      <c r="AG21" s="56"/>
      <c r="AH21" s="56"/>
      <c r="AI21" s="57"/>
      <c r="AJ21" s="21"/>
      <c r="AK21" s="22"/>
      <c r="AL21" s="22"/>
      <c r="AM21" s="22"/>
      <c r="AN21" s="23"/>
    </row>
    <row r="22" spans="1:40" customHeight="1" ht="12.95">
      <c r="A22" s="6"/>
      <c r="B22" s="7"/>
      <c r="C22" s="59" t="s">
        <v>30</v>
      </c>
      <c r="D22" s="59"/>
      <c r="E22" s="59"/>
      <c r="F22" s="59"/>
      <c r="G22" s="59"/>
      <c r="H22" s="59">
        <v>31</v>
      </c>
      <c r="I22" s="59"/>
      <c r="J22" s="59"/>
      <c r="K22" s="59"/>
      <c r="L22" s="59"/>
      <c r="M22" s="61"/>
      <c r="N22" s="70" t="s">
        <v>31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  <c r="AD22" s="67">
        <f>SUM(AD7:AI13,AD18)/8</f>
        <v>70.375</v>
      </c>
      <c r="AE22" s="68"/>
      <c r="AF22" s="68"/>
      <c r="AG22" s="68"/>
      <c r="AH22" s="68"/>
      <c r="AI22" s="69"/>
      <c r="AJ22" s="4"/>
      <c r="AK22" s="4"/>
      <c r="AL22" s="4"/>
      <c r="AM22" s="4"/>
      <c r="AN22" s="4"/>
    </row>
    <row r="23" spans="1:40" customHeight="1" ht="7.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5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5">
      <c r="A25" s="50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27" t="s">
        <v>11</v>
      </c>
      <c r="Q25" s="27"/>
      <c r="R25" s="27" t="s">
        <v>12</v>
      </c>
      <c r="S25" s="27"/>
      <c r="T25" s="27" t="s">
        <v>13</v>
      </c>
      <c r="U25" s="27"/>
      <c r="V25" s="27" t="s">
        <v>14</v>
      </c>
      <c r="W25" s="27"/>
      <c r="Y25" s="62" t="s">
        <v>34</v>
      </c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3"/>
      <c r="AL25" s="3"/>
      <c r="AM25" s="3"/>
      <c r="AN25" s="3"/>
    </row>
    <row r="26" spans="1:40" customHeight="1" ht="12.95">
      <c r="A26" s="28" t="s">
        <v>35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">
        <v>3</v>
      </c>
      <c r="Q26" s="19"/>
      <c r="R26" s="19">
        <v>3</v>
      </c>
      <c r="S26" s="19"/>
      <c r="T26" s="19">
        <v>3</v>
      </c>
      <c r="U26" s="19"/>
      <c r="V26" s="20"/>
      <c r="W26" s="20"/>
      <c r="Y26" s="29" t="s">
        <v>36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">
        <v>5</v>
      </c>
    </row>
    <row r="27" spans="1:40" customHeight="1" ht="12.95">
      <c r="A27" s="28" t="s">
        <v>37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">
        <v>3</v>
      </c>
      <c r="Q27" s="19"/>
      <c r="R27" s="19">
        <v>3</v>
      </c>
      <c r="S27" s="19"/>
      <c r="T27" s="19">
        <v>4</v>
      </c>
      <c r="U27" s="19"/>
      <c r="V27" s="20"/>
      <c r="W27" s="20"/>
      <c r="Y27" s="29" t="s">
        <v>38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">
        <v>4</v>
      </c>
    </row>
    <row r="28" spans="1:40" customHeight="1" ht="12.95">
      <c r="A28" s="28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">
        <v>3</v>
      </c>
      <c r="Q28" s="19"/>
      <c r="R28" s="19">
        <v>3</v>
      </c>
      <c r="S28" s="19"/>
      <c r="T28" s="19">
        <v>3</v>
      </c>
      <c r="U28" s="19"/>
      <c r="V28" s="20"/>
      <c r="W28" s="20"/>
      <c r="Y28" s="29" t="s">
        <v>40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">
        <v>3</v>
      </c>
    </row>
    <row r="29" spans="1:40" customHeight="1" ht="12.95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">
        <v>3</v>
      </c>
      <c r="Q29" s="19"/>
      <c r="R29" s="19">
        <v>4</v>
      </c>
      <c r="S29" s="19"/>
      <c r="T29" s="19">
        <v>4</v>
      </c>
      <c r="U29" s="19"/>
      <c r="V29" s="20"/>
      <c r="W29" s="20"/>
      <c r="Y29" s="29" t="s">
        <v>42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">
        <v>2</v>
      </c>
    </row>
    <row r="30" spans="1:40" customHeight="1" ht="12.95">
      <c r="A30" s="28" t="s">
        <v>43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">
        <v>3</v>
      </c>
      <c r="Q30" s="19"/>
      <c r="R30" s="19">
        <v>3</v>
      </c>
      <c r="S30" s="19"/>
      <c r="T30" s="19">
        <v>3</v>
      </c>
      <c r="U30" s="19"/>
      <c r="V30" s="20"/>
      <c r="W30" s="20"/>
      <c r="Y30" s="29" t="s">
        <v>44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">
        <v>1</v>
      </c>
    </row>
    <row r="31" spans="1:40" customHeight="1" ht="12.95">
      <c r="A31" s="28" t="s">
        <v>45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19">
        <v>3</v>
      </c>
      <c r="Q31" s="19"/>
      <c r="R31" s="19">
        <v>3</v>
      </c>
      <c r="S31" s="19"/>
      <c r="T31" s="19">
        <v>3</v>
      </c>
      <c r="U31" s="19"/>
      <c r="V31" s="20"/>
      <c r="W31" s="20"/>
      <c r="X31" s="3"/>
      <c r="Y31" s="29" t="s">
        <v>46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">
        <v>0</v>
      </c>
    </row>
    <row r="32" spans="1:40" customHeight="1" ht="12.95">
      <c r="A32" s="28" t="s">
        <v>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19">
        <v>3</v>
      </c>
      <c r="Q32" s="19"/>
      <c r="R32" s="19">
        <v>3</v>
      </c>
      <c r="S32" s="19"/>
      <c r="T32" s="19">
        <v>2</v>
      </c>
      <c r="U32" s="19"/>
      <c r="V32" s="20"/>
      <c r="W32" s="20"/>
      <c r="X32" s="3"/>
    </row>
    <row r="33" spans="1:40" customHeight="1" ht="12.95">
      <c r="A33" s="28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19">
        <v>3</v>
      </c>
      <c r="Q33" s="19"/>
      <c r="R33" s="19">
        <v>3</v>
      </c>
      <c r="S33" s="19"/>
      <c r="T33" s="19">
        <v>3</v>
      </c>
      <c r="U33" s="19"/>
      <c r="V33" s="20"/>
      <c r="W33" s="20"/>
      <c r="X33" s="3"/>
    </row>
    <row r="34" spans="1:40" customHeight="1" ht="12.9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9">
        <v>3</v>
      </c>
      <c r="Q34" s="19"/>
      <c r="R34" s="19">
        <v>3</v>
      </c>
      <c r="S34" s="19"/>
      <c r="T34" s="19">
        <v>3</v>
      </c>
      <c r="U34" s="19"/>
      <c r="V34" s="20"/>
      <c r="W34" s="20"/>
      <c r="X34" s="3"/>
    </row>
    <row r="35" spans="1:40" customHeight="1" ht="12.95">
      <c r="A35" s="28" t="s">
        <v>50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9">
        <v>3</v>
      </c>
      <c r="Q35" s="19"/>
      <c r="R35" s="19">
        <v>3</v>
      </c>
      <c r="S35" s="19"/>
      <c r="T35" s="19">
        <v>3</v>
      </c>
      <c r="U35" s="19"/>
      <c r="V35" s="20"/>
      <c r="W35" s="20"/>
      <c r="X35" s="3"/>
    </row>
    <row r="36" spans="1:40" customHeight="1" ht="12.95">
      <c r="A36" s="28" t="s">
        <v>51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19">
        <v>3</v>
      </c>
      <c r="Q36" s="19"/>
      <c r="R36" s="19">
        <v>3</v>
      </c>
      <c r="S36" s="19"/>
      <c r="T36" s="19">
        <v>3</v>
      </c>
      <c r="U36" s="19"/>
      <c r="V36" s="20"/>
      <c r="W36" s="20"/>
      <c r="X36" s="3"/>
    </row>
    <row r="37" spans="1:40" customHeight="1" ht="12.95">
      <c r="A37" s="28" t="s">
        <v>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9">
        <v>3</v>
      </c>
      <c r="Q37" s="19"/>
      <c r="R37" s="19">
        <v>3</v>
      </c>
      <c r="S37" s="19"/>
      <c r="T37" s="19">
        <v>3</v>
      </c>
      <c r="U37" s="19"/>
      <c r="V37" s="20"/>
      <c r="W37" s="20"/>
      <c r="X37" s="3"/>
      <c r="AC37" s="58" t="s">
        <v>53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40" customHeight="1" ht="12.95">
      <c r="A38" s="66" t="s">
        <v>54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0">
        <f>SUM(P26:Q37)/12</f>
        <v>3</v>
      </c>
      <c r="Q38" s="20"/>
      <c r="R38" s="20">
        <f>SUM(R26:S37)/12</f>
        <v>3.0833333333333</v>
      </c>
      <c r="S38" s="20"/>
      <c r="T38" s="20">
        <f>SUM(T26:U37)/12</f>
        <v>3.0833333333333</v>
      </c>
      <c r="U38" s="20"/>
      <c r="V38" s="20">
        <f>SUM(V26:W37)/12</f>
        <v>0</v>
      </c>
      <c r="W38" s="20"/>
      <c r="X38" s="3"/>
      <c r="AD38" s="2"/>
      <c r="AE38" s="2"/>
      <c r="AF38" s="64" t="s">
        <v>55</v>
      </c>
      <c r="AG38" s="64"/>
      <c r="AH38" s="64"/>
      <c r="AI38" s="64"/>
      <c r="AJ38" s="64"/>
      <c r="AK38" s="64"/>
      <c r="AL38" s="3"/>
      <c r="AM38" s="3"/>
    </row>
    <row r="39" spans="1:40" customHeight="1" ht="12.95">
      <c r="A39" s="54" t="s">
        <v>56</v>
      </c>
      <c r="B39" s="54"/>
      <c r="C39" s="54"/>
      <c r="D39" s="54"/>
      <c r="E39" s="54"/>
      <c r="F39" s="54"/>
      <c r="G39" s="52" t="s">
        <v>57</v>
      </c>
      <c r="H39" s="52"/>
      <c r="I39" s="52" t="s">
        <v>58</v>
      </c>
      <c r="J39" s="52"/>
      <c r="K39" s="52" t="s">
        <v>59</v>
      </c>
      <c r="L39" s="52"/>
      <c r="M39" s="52" t="s">
        <v>60</v>
      </c>
      <c r="N39" s="52"/>
      <c r="O39" s="52" t="s">
        <v>61</v>
      </c>
      <c r="P39" s="52"/>
      <c r="Q39" s="52" t="s">
        <v>62</v>
      </c>
      <c r="R39" s="52"/>
      <c r="S39" s="52" t="s">
        <v>63</v>
      </c>
      <c r="T39" s="52"/>
      <c r="U39" s="52" t="s">
        <v>64</v>
      </c>
      <c r="V39" s="52"/>
      <c r="W39" s="52" t="s">
        <v>65</v>
      </c>
      <c r="X39" s="52"/>
      <c r="Y39" s="52" t="s">
        <v>66</v>
      </c>
      <c r="Z39" s="52"/>
      <c r="AA39" s="52" t="s">
        <v>67</v>
      </c>
      <c r="AB39" s="52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customHeight="1" ht="12.95">
      <c r="A40" s="51" t="s">
        <v>68</v>
      </c>
      <c r="B40" s="51"/>
      <c r="C40" s="51"/>
      <c r="D40" s="51"/>
      <c r="E40" s="51"/>
      <c r="F40" s="51"/>
      <c r="G40" s="19">
        <v>18</v>
      </c>
      <c r="H40" s="19"/>
      <c r="I40" s="19">
        <v>23</v>
      </c>
      <c r="J40" s="19"/>
      <c r="K40" s="19">
        <v>22</v>
      </c>
      <c r="L40" s="19"/>
      <c r="M40" s="19">
        <v>19</v>
      </c>
      <c r="N40" s="19"/>
      <c r="O40" s="19">
        <v>16</v>
      </c>
      <c r="P40" s="19"/>
      <c r="Q40" s="19">
        <v>22</v>
      </c>
      <c r="R40" s="19"/>
      <c r="S40" s="19">
        <v>22</v>
      </c>
      <c r="T40" s="19"/>
      <c r="U40" s="19">
        <v>20</v>
      </c>
      <c r="V40" s="19"/>
      <c r="W40" s="19">
        <v>22</v>
      </c>
      <c r="X40" s="19"/>
      <c r="Y40" s="19">
        <v>16</v>
      </c>
      <c r="Z40" s="65"/>
      <c r="AA40" s="20">
        <f>SUM(G40:Z40)</f>
        <v>200</v>
      </c>
      <c r="AB40" s="20"/>
      <c r="AC40" s="63"/>
      <c r="AD40" s="63"/>
      <c r="AG40" s="3"/>
      <c r="AH40" s="3"/>
      <c r="AI40" s="3"/>
      <c r="AJ40" s="3"/>
      <c r="AK40" s="3"/>
      <c r="AL40" s="3"/>
      <c r="AM40" s="3"/>
      <c r="AN40" s="3"/>
    </row>
    <row r="41" spans="1:40" customHeight="1" ht="12.95">
      <c r="A41" s="51" t="s">
        <v>69</v>
      </c>
      <c r="B41" s="51"/>
      <c r="C41" s="51"/>
      <c r="D41" s="51"/>
      <c r="E41" s="51"/>
      <c r="F41" s="51"/>
      <c r="G41" s="19"/>
      <c r="H41" s="19"/>
      <c r="I41" s="19"/>
      <c r="J41" s="19"/>
      <c r="K41" s="53"/>
      <c r="L41" s="53"/>
      <c r="M41" s="19"/>
      <c r="N41" s="19"/>
      <c r="O41" s="19"/>
      <c r="P41" s="19"/>
      <c r="Q41" s="73"/>
      <c r="R41" s="73"/>
      <c r="S41" s="19"/>
      <c r="T41" s="19"/>
      <c r="U41" s="19"/>
      <c r="V41" s="19"/>
      <c r="W41" s="19"/>
      <c r="X41" s="19"/>
      <c r="Y41" s="19"/>
      <c r="Z41" s="65"/>
      <c r="AA41" s="20">
        <f>SUM(G41:Z41)</f>
        <v>0</v>
      </c>
      <c r="AB41" s="20"/>
      <c r="AC41" s="63"/>
      <c r="AD41" s="63"/>
    </row>
    <row r="42" spans="1:40" customHeight="1" ht="12.95">
      <c r="A42" s="51" t="s">
        <v>70</v>
      </c>
      <c r="B42" s="51"/>
      <c r="C42" s="51"/>
      <c r="D42" s="51"/>
      <c r="E42" s="51"/>
      <c r="F42" s="5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65"/>
      <c r="AA42" s="20">
        <f>SUM(G42:Z42)</f>
        <v>0</v>
      </c>
      <c r="AB42" s="20"/>
      <c r="AC42" s="63"/>
      <c r="AD42" s="63"/>
    </row>
    <row r="43" spans="1:40" customHeight="1" ht="12.9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>
      <c r="AA44" s="2"/>
      <c r="AB44" s="2"/>
      <c r="AC44" s="2"/>
    </row>
  </sheetData>
  <mergeCells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Sheet 1</vt:lpstr>
      <vt:lpstr>Abad, A G_0</vt:lpstr>
      <vt:lpstr>Balañga-an, K G_0</vt:lpstr>
      <vt:lpstr>Bernardino, L B_0</vt:lpstr>
      <vt:lpstr>Bolves, I N_0</vt:lpstr>
      <vt:lpstr>Chua, S S_0</vt:lpstr>
      <vt:lpstr>Chua, G S_0</vt:lpstr>
      <vt:lpstr>Co, G Y_0</vt:lpstr>
      <vt:lpstr>Comique, S C_0</vt:lpstr>
      <vt:lpstr>Cuaycong, K Z_0</vt:lpstr>
      <vt:lpstr>Deldo, R S_0</vt:lpstr>
      <vt:lpstr>Gille, V S_0</vt:lpstr>
      <vt:lpstr>Jacomille, A V_0</vt:lpstr>
      <vt:lpstr>Lozada, A L_0</vt:lpstr>
      <vt:lpstr>Molleno, S L_0</vt:lpstr>
      <vt:lpstr>Mork, T E_0</vt:lpstr>
      <vt:lpstr>Nolasco, L M_0</vt:lpstr>
      <vt:lpstr>Plona, D D_0</vt:lpstr>
      <vt:lpstr>Relota, B P_0</vt:lpstr>
      <vt:lpstr>Robles, A S_0</vt:lpstr>
      <vt:lpstr>Rodrigo, L S_0</vt:lpstr>
      <vt:lpstr>Sale, E A_0</vt:lpstr>
      <vt:lpstr>Seraspe, L B_0</vt:lpstr>
      <vt:lpstr>Solleza, A L_0</vt:lpstr>
      <vt:lpstr>Sorbito, I M_0</vt:lpstr>
      <vt:lpstr>Suarez, A B_0</vt:lpstr>
      <vt:lpstr>Tadlan, R B_0</vt:lpstr>
      <vt:lpstr>Tan, H _0</vt:lpstr>
      <vt:lpstr>Uy, E F_0</vt:lpstr>
      <vt:lpstr>Yang, Z B_0</vt:lpstr>
      <vt:lpstr>Ybañez, C G_0</vt:lpstr>
      <vt:lpstr>Yip, K Y_0</vt:lpstr>
      <vt:lpstr>Claridad, J C_0</vt:lpstr>
      <vt:lpstr>Albon, K L_0</vt:lpstr>
      <vt:lpstr>So, M T_0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BTCSI IT</cp:lastModifiedBy>
  <dcterms:created xsi:type="dcterms:W3CDTF">2014-06-17T06:11:21+00:00</dcterms:created>
  <dcterms:modified xsi:type="dcterms:W3CDTF">2025-02-19T03:58:03+00:00</dcterms:modified>
  <dc:title/>
  <dc:description/>
  <dc:subject/>
  <cp:keywords/>
  <cp:category/>
</cp:coreProperties>
</file>