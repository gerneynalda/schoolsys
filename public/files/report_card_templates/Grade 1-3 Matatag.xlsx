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aragon\www\schoolsys\public\files\report_card_templates\"/>
    </mc:Choice>
  </mc:AlternateContent>
  <xr:revisionPtr revIDLastSave="0" documentId="13_ncr:1_{DB4D0525-354C-4EE8-8618-C95EA710B42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ront Sheet" sheetId="1" r:id="rId1"/>
    <sheet name="Back Sheet" sheetId="2" r:id="rId2"/>
  </sheets>
  <definedNames>
    <definedName name="_xlnm.Print_Area" localSheetId="1">'Back Sheet'!$A$1:$AM$38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6" i="1" l="1"/>
  <c r="V16" i="1"/>
  <c r="Z16" i="1"/>
  <c r="R12" i="1"/>
  <c r="V12" i="1"/>
  <c r="Z12" i="1"/>
  <c r="R8" i="1"/>
  <c r="V8" i="1"/>
  <c r="Z8" i="1"/>
  <c r="Z23" i="1" l="1"/>
  <c r="V23" i="1"/>
  <c r="R23" i="1"/>
  <c r="N16" i="1" l="1"/>
  <c r="AD16" i="1" s="1"/>
  <c r="AJ16" i="1" s="1"/>
  <c r="N12" i="1"/>
  <c r="AD12" i="1" s="1"/>
  <c r="AJ12" i="1" s="1"/>
  <c r="N8" i="1"/>
  <c r="AA4" i="2"/>
  <c r="AA3" i="2"/>
  <c r="AD22" i="1"/>
  <c r="AJ22" i="1" s="1"/>
  <c r="AD19" i="1"/>
  <c r="AD18" i="1"/>
  <c r="AD17" i="1"/>
  <c r="AJ17" i="1" s="1"/>
  <c r="AD9" i="1"/>
  <c r="AJ9" i="1" s="1"/>
  <c r="AD10" i="1"/>
  <c r="AJ10" i="1" s="1"/>
  <c r="AD11" i="1"/>
  <c r="AJ11" i="1" s="1"/>
  <c r="AD13" i="1"/>
  <c r="AJ13" i="1" s="1"/>
  <c r="AD14" i="1"/>
  <c r="AJ14" i="1" s="1"/>
  <c r="AD15" i="1"/>
  <c r="AJ15" i="1" s="1"/>
  <c r="AD7" i="1"/>
  <c r="R40" i="1"/>
  <c r="T40" i="1"/>
  <c r="V40" i="1"/>
  <c r="N23" i="1" l="1"/>
  <c r="AJ7" i="1"/>
  <c r="AD8" i="1"/>
  <c r="AJ8" i="1" s="1"/>
  <c r="AD24" i="1" l="1"/>
  <c r="AJ23" i="1" s="1"/>
  <c r="P40" i="1"/>
  <c r="AA2" i="2" l="1"/>
  <c r="AJ19" i="1" l="1"/>
  <c r="AJ18" i="1"/>
</calcChain>
</file>

<file path=xl/sharedStrings.xml><?xml version="1.0" encoding="utf-8"?>
<sst xmlns="http://schemas.openxmlformats.org/spreadsheetml/2006/main" count="95" uniqueCount="86">
  <si>
    <t>PROGRESS REPORT</t>
  </si>
  <si>
    <t>(Elementary)</t>
  </si>
  <si>
    <t>Name:</t>
  </si>
  <si>
    <t>Adviser:</t>
  </si>
  <si>
    <t>Grade Level:</t>
  </si>
  <si>
    <t>Section:</t>
  </si>
  <si>
    <t>SUBJECTS</t>
  </si>
  <si>
    <t>QUARTERLY GRADES</t>
  </si>
  <si>
    <t>1st</t>
  </si>
  <si>
    <t>2nd</t>
  </si>
  <si>
    <t>3rd</t>
  </si>
  <si>
    <t>4th</t>
  </si>
  <si>
    <t>FILIPINO</t>
  </si>
  <si>
    <t>ENGLISH</t>
  </si>
  <si>
    <t>Physical Education</t>
  </si>
  <si>
    <t>SCIENCE</t>
  </si>
  <si>
    <t>PENMANSHIP</t>
  </si>
  <si>
    <t>Average</t>
  </si>
  <si>
    <t>General Average</t>
  </si>
  <si>
    <t>Rank:</t>
  </si>
  <si>
    <t>CHARACTER BUILDING</t>
  </si>
  <si>
    <t>TRAITS</t>
  </si>
  <si>
    <t>Activeness in school and classroom</t>
  </si>
  <si>
    <t>Cleanliness and care of things</t>
  </si>
  <si>
    <t>Consideration for others</t>
  </si>
  <si>
    <t>Courtesy and cheerfulness</t>
  </si>
  <si>
    <t>Honesty</t>
  </si>
  <si>
    <t>Industry and helpfulness</t>
  </si>
  <si>
    <t>Obedience and promptness</t>
  </si>
  <si>
    <t>Proper decorum</t>
  </si>
  <si>
    <t>Respect for rules and authority</t>
  </si>
  <si>
    <t>Resourcefulness and creativeness</t>
  </si>
  <si>
    <t>Self-reliance and responsibility</t>
  </si>
  <si>
    <t>Sportsmanship and self-control</t>
  </si>
  <si>
    <t>Quarterly H and B Rating</t>
  </si>
  <si>
    <t>ATTENDANCE</t>
  </si>
  <si>
    <t>Days of School</t>
  </si>
  <si>
    <t>Days Present</t>
  </si>
  <si>
    <t>Days Tardy</t>
  </si>
  <si>
    <t>Aug</t>
  </si>
  <si>
    <t>Sep</t>
  </si>
  <si>
    <t>Oct</t>
  </si>
  <si>
    <t>Nov</t>
  </si>
  <si>
    <t>Dec</t>
  </si>
  <si>
    <t>Jan</t>
  </si>
  <si>
    <t>Feb</t>
  </si>
  <si>
    <t>Mar</t>
  </si>
  <si>
    <t>Total</t>
  </si>
  <si>
    <t>Ms. ESTHER JANE Y. UY</t>
  </si>
  <si>
    <t>Principal</t>
  </si>
  <si>
    <t>Character Building Ratings:</t>
  </si>
  <si>
    <t>Positive Influence</t>
  </si>
  <si>
    <t>Good, consistent</t>
  </si>
  <si>
    <t>Good, but not consistent</t>
  </si>
  <si>
    <t>Fair, average</t>
  </si>
  <si>
    <t>Under discipline</t>
  </si>
  <si>
    <t>Not satisfactory</t>
  </si>
  <si>
    <t>Action
Taken</t>
  </si>
  <si>
    <t>LRN:</t>
  </si>
  <si>
    <t>Apr</t>
  </si>
  <si>
    <t>Final
Grade</t>
  </si>
  <si>
    <t>FOREIGN LANGUAGE ARTS</t>
  </si>
  <si>
    <t>SY:2023-2024</t>
  </si>
  <si>
    <t>Jul</t>
  </si>
  <si>
    <t>CERTIFICATE OF TRANSFER</t>
  </si>
  <si>
    <t>Eligible for transfer and admission to:</t>
  </si>
  <si>
    <t>Has advance units in:</t>
  </si>
  <si>
    <t>Lacks unit in:</t>
  </si>
  <si>
    <t>Has optional units in:</t>
  </si>
  <si>
    <t>Date:</t>
  </si>
  <si>
    <t>CANCELLATION OF ELIGIBILITY TO TRANSFER</t>
  </si>
  <si>
    <t>Admitted in:</t>
  </si>
  <si>
    <t>_____________________</t>
  </si>
  <si>
    <t>VISION</t>
  </si>
  <si>
    <t>Built on Christ to Build the Community.</t>
  </si>
  <si>
    <t>MISSION</t>
  </si>
  <si>
    <t xml:space="preserve">   READING</t>
  </si>
  <si>
    <t xml:space="preserve">   LANGUAGE</t>
  </si>
  <si>
    <t>MATH</t>
  </si>
  <si>
    <t>HEALTH</t>
  </si>
  <si>
    <t>MAKABANSA</t>
  </si>
  <si>
    <t xml:space="preserve">   ART</t>
  </si>
  <si>
    <t xml:space="preserve">   MUSIC</t>
  </si>
  <si>
    <t>GMRC</t>
  </si>
  <si>
    <t>To provide quality Christian education to the young, with Chinese language studies, leading them to the knowledge of Jesus Christ</t>
  </si>
  <si>
    <t>ARALING PANLIPUNAN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</si>
</sst>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11"/>
      <color rgb="FF008000"/>
      <name val="Calibri"/>
      <family val="2"/>
      <scheme val="minor"/>
    </font>
    <font>
      <i/>
      <sz val="10"/>
      <color rgb="FF008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5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vertical="center"/>
    </xf>
    <xf numFmtId="0" fontId="3" fillId="0" borderId="0" xfId="0" applyFont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right" vertical="center"/>
    </xf>
    <xf numFmtId="0" fontId="7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6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7" fillId="0" borderId="0" xfId="0" applyFont="1"/>
    <xf numFmtId="0" fontId="8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top"/>
    </xf>
    <xf numFmtId="0" fontId="5" fillId="0" borderId="0" xfId="0" applyFont="1" applyAlignment="1">
      <alignment vertical="center"/>
    </xf>
    <xf numFmtId="0" fontId="9" fillId="0" borderId="0" xfId="0" applyFont="1"/>
    <xf numFmtId="0" fontId="10" fillId="0" borderId="0" xfId="0" applyFont="1"/>
    <xf numFmtId="0" fontId="10" fillId="0" borderId="0" xfId="0" applyFont="1" applyAlignment="1">
      <alignment wrapText="1"/>
    </xf>
    <xf numFmtId="0" fontId="3" fillId="0" borderId="1" xfId="0" applyFont="1" applyBorder="1" applyAlignment="1">
      <alignment horizontal="center" vertical="center"/>
    </xf>
    <xf numFmtId="2" fontId="3" fillId="0" borderId="5" xfId="0" applyNumberFormat="1" applyFont="1" applyBorder="1" applyAlignment="1">
      <alignment horizontal="center" vertical="center"/>
    </xf>
    <xf numFmtId="2" fontId="3" fillId="0" borderId="4" xfId="0" applyNumberFormat="1" applyFont="1" applyBorder="1" applyAlignment="1">
      <alignment horizontal="center" vertical="center"/>
    </xf>
    <xf numFmtId="2" fontId="3" fillId="0" borderId="2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2" fontId="5" fillId="0" borderId="1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right" vertical="center"/>
    </xf>
    <xf numFmtId="0" fontId="5" fillId="0" borderId="4" xfId="0" applyFont="1" applyBorder="1" applyAlignment="1">
      <alignment horizontal="right" vertical="center"/>
    </xf>
    <xf numFmtId="0" fontId="5" fillId="0" borderId="2" xfId="0" applyFont="1" applyBorder="1" applyAlignment="1">
      <alignment horizontal="right" vertical="center"/>
    </xf>
    <xf numFmtId="0" fontId="3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2" fontId="5" fillId="0" borderId="5" xfId="0" applyNumberFormat="1" applyFont="1" applyBorder="1" applyAlignment="1">
      <alignment horizontal="center" vertical="center"/>
    </xf>
    <xf numFmtId="2" fontId="5" fillId="0" borderId="4" xfId="0" applyNumberFormat="1" applyFont="1" applyBorder="1" applyAlignment="1">
      <alignment horizontal="center" vertical="center"/>
    </xf>
    <xf numFmtId="2" fontId="5" fillId="0" borderId="2" xfId="0" applyNumberFormat="1" applyFont="1" applyBorder="1" applyAlignment="1">
      <alignment horizontal="center" vertical="center"/>
    </xf>
    <xf numFmtId="1" fontId="3" fillId="0" borderId="5" xfId="0" applyNumberFormat="1" applyFont="1" applyBorder="1" applyAlignment="1">
      <alignment horizontal="center" vertical="center"/>
    </xf>
    <xf numFmtId="1" fontId="3" fillId="0" borderId="4" xfId="0" applyNumberFormat="1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6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1" fontId="0" fillId="0" borderId="0" xfId="0" applyNumberFormat="1" applyAlignment="1">
      <alignment horizontal="center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0" xfId="0" applyFont="1" applyAlignment="1">
      <alignment horizontal="center"/>
    </xf>
    <xf numFmtId="0" fontId="10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0" fontId="3" fillId="0" borderId="0" xfId="0" applyFont="1" applyAlignment="1">
      <alignment horizontal="center" vertical="top"/>
    </xf>
    <xf numFmtId="0" fontId="0" fillId="0" borderId="0" xfId="0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5" fontId="3" fillId="0" borderId="0" xfId="0" applyNumberFormat="1" applyFont="1" applyAlignment="1">
      <alignment horizontal="center"/>
    </xf>
    <xf numFmtId="0" fontId="4" fillId="0" borderId="1" xfId="0" applyFont="1" applyBorder="1" applyAlignment="1">
      <alignment horizontal="left" vertical="center"/>
    </xf>
    <xf numFmtId="1" fontId="4" fillId="0" borderId="1" xfId="0" applyNumberFormat="1" applyFont="1" applyBorder="1" applyAlignment="1">
      <alignment horizontal="center" vertical="center"/>
    </xf>
    <xf numFmtId="1" fontId="4" fillId="0" borderId="5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8"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strike val="0"/>
        <color rgb="FFC00000"/>
      </font>
    </dxf>
    <dxf>
      <font>
        <strike val="0"/>
        <color rgb="FFC00000"/>
      </font>
    </dxf>
    <dxf>
      <font>
        <strike val="0"/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45"/>
  <sheetViews>
    <sheetView tabSelected="1" view="pageLayout" zoomScaleNormal="100" workbookViewId="0">
      <selection activeCell="N7" sqref="N7:AC7"/>
    </sheetView>
  </sheetViews>
  <sheetFormatPr defaultColWidth="9.140625" defaultRowHeight="15" x14ac:dyDescent="0.25"/>
  <cols>
    <col min="1" max="40" width="1.5703125" customWidth="1"/>
  </cols>
  <sheetData>
    <row r="1" spans="1:40" ht="12.95" customHeight="1" x14ac:dyDescent="0.25">
      <c r="O1" s="59" t="s">
        <v>0</v>
      </c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</row>
    <row r="2" spans="1:40" ht="12.95" customHeight="1" x14ac:dyDescent="0.25">
      <c r="A2" s="60" t="s">
        <v>58</v>
      </c>
      <c r="B2" s="60"/>
      <c r="C2" s="60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Q2" s="60" t="s">
        <v>1</v>
      </c>
      <c r="R2" s="60"/>
      <c r="S2" s="60"/>
      <c r="T2" s="60"/>
      <c r="U2" s="60"/>
      <c r="V2" s="60"/>
      <c r="W2" s="60"/>
      <c r="X2" s="60"/>
      <c r="Y2" s="60"/>
      <c r="Z2" s="60"/>
    </row>
    <row r="3" spans="1:40" ht="12.95" customHeight="1" x14ac:dyDescent="0.25">
      <c r="A3" s="63" t="s">
        <v>2</v>
      </c>
      <c r="B3" s="63"/>
      <c r="C3" s="63"/>
      <c r="D3" s="63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2" t="s">
        <v>3</v>
      </c>
      <c r="W3" s="62"/>
      <c r="X3" s="62"/>
      <c r="Y3" s="62"/>
      <c r="Z3" s="65"/>
      <c r="AA3" s="65"/>
      <c r="AB3" s="65"/>
      <c r="AC3" s="65"/>
      <c r="AD3" s="65"/>
      <c r="AE3" s="65"/>
      <c r="AF3" s="65"/>
      <c r="AG3" s="65"/>
      <c r="AH3" s="65"/>
      <c r="AI3" s="65"/>
      <c r="AJ3" s="65"/>
      <c r="AK3" s="65"/>
      <c r="AL3" s="65"/>
      <c r="AM3" s="65"/>
      <c r="AN3" s="65"/>
    </row>
    <row r="4" spans="1:40" ht="12.95" customHeight="1" x14ac:dyDescent="0.25">
      <c r="A4" s="61" t="s">
        <v>4</v>
      </c>
      <c r="B4" s="61"/>
      <c r="C4" s="61"/>
      <c r="D4" s="61"/>
      <c r="E4" s="61"/>
      <c r="F4" s="61"/>
      <c r="G4" s="66"/>
      <c r="H4" s="66"/>
      <c r="I4" s="66"/>
      <c r="J4" s="66"/>
      <c r="K4" s="66"/>
      <c r="L4" s="66"/>
      <c r="M4" s="66"/>
      <c r="N4" s="66"/>
      <c r="O4" s="66"/>
      <c r="P4" s="66"/>
      <c r="Q4" s="61" t="s">
        <v>5</v>
      </c>
      <c r="R4" s="61"/>
      <c r="S4" s="61"/>
      <c r="T4" s="61"/>
      <c r="U4" s="66"/>
      <c r="V4" s="66"/>
      <c r="W4" s="66"/>
      <c r="X4" s="66"/>
      <c r="Y4" s="66"/>
      <c r="Z4" s="66"/>
      <c r="AA4" s="66"/>
      <c r="AB4" s="66"/>
      <c r="AC4" s="66"/>
      <c r="AD4" s="66"/>
      <c r="AE4" s="66"/>
      <c r="AF4" s="66"/>
      <c r="AG4" s="66"/>
      <c r="AH4" s="61" t="s">
        <v>62</v>
      </c>
      <c r="AI4" s="61"/>
      <c r="AJ4" s="61"/>
      <c r="AK4" s="61"/>
      <c r="AL4" s="61"/>
      <c r="AM4" s="61"/>
      <c r="AN4" s="61"/>
    </row>
    <row r="5" spans="1:40" ht="12.95" customHeight="1" x14ac:dyDescent="0.25">
      <c r="A5" s="74" t="s">
        <v>6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  <c r="M5" s="74"/>
      <c r="N5" s="74" t="s">
        <v>7</v>
      </c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4"/>
      <c r="AB5" s="74"/>
      <c r="AC5" s="74"/>
      <c r="AD5" s="68" t="s">
        <v>60</v>
      </c>
      <c r="AE5" s="69"/>
      <c r="AF5" s="69"/>
      <c r="AG5" s="69"/>
      <c r="AH5" s="69"/>
      <c r="AI5" s="70"/>
      <c r="AJ5" s="68" t="s">
        <v>57</v>
      </c>
      <c r="AK5" s="69"/>
      <c r="AL5" s="69"/>
      <c r="AM5" s="69"/>
      <c r="AN5" s="70"/>
    </row>
    <row r="6" spans="1:40" ht="12.95" customHeight="1" x14ac:dyDescent="0.25">
      <c r="A6" s="74"/>
      <c r="B6" s="74"/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26" t="s">
        <v>8</v>
      </c>
      <c r="O6" s="26"/>
      <c r="P6" s="26"/>
      <c r="Q6" s="26"/>
      <c r="R6" s="26" t="s">
        <v>9</v>
      </c>
      <c r="S6" s="26"/>
      <c r="T6" s="26"/>
      <c r="U6" s="26"/>
      <c r="V6" s="26" t="s">
        <v>10</v>
      </c>
      <c r="W6" s="26"/>
      <c r="X6" s="26"/>
      <c r="Y6" s="26"/>
      <c r="Z6" s="26" t="s">
        <v>11</v>
      </c>
      <c r="AA6" s="26"/>
      <c r="AB6" s="26"/>
      <c r="AC6" s="26"/>
      <c r="AD6" s="71"/>
      <c r="AE6" s="72"/>
      <c r="AF6" s="72"/>
      <c r="AG6" s="72"/>
      <c r="AH6" s="72"/>
      <c r="AI6" s="73"/>
      <c r="AJ6" s="71"/>
      <c r="AK6" s="72"/>
      <c r="AL6" s="72"/>
      <c r="AM6" s="72"/>
      <c r="AN6" s="73"/>
    </row>
    <row r="7" spans="1:40" ht="12.95" customHeight="1" x14ac:dyDescent="0.25">
      <c r="A7" s="36" t="s">
        <v>12</v>
      </c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7" t="str">
        <f>IF(COUNT(N7:AC7)=4,SUM(N7:AC7)/4,"")</f>
        <v/>
      </c>
      <c r="AE7" s="28"/>
      <c r="AF7" s="28"/>
      <c r="AG7" s="28"/>
      <c r="AH7" s="28"/>
      <c r="AI7" s="29"/>
      <c r="AJ7" s="26" t="str">
        <f>IF(AD7&lt;&gt;"",IF(AD7 &gt;= 75, "Passed", "Failed"),"")</f>
        <v/>
      </c>
      <c r="AK7" s="26"/>
      <c r="AL7" s="26"/>
      <c r="AM7" s="26"/>
      <c r="AN7" s="26"/>
    </row>
    <row r="8" spans="1:40" ht="12.95" customHeight="1" x14ac:dyDescent="0.25">
      <c r="A8" s="36" t="s">
        <v>13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26" t="str">
        <f>IF(((N9+N10)/2)&gt;0, (N9+N10)/2, "")</f>
        <v/>
      </c>
      <c r="O8" s="26"/>
      <c r="P8" s="26"/>
      <c r="Q8" s="26"/>
      <c r="R8" s="26" t="str">
        <f t="shared" ref="R8" si="0">IF(((R9+R10)/2)&gt;0, (R9+R10)/2, "")</f>
        <v/>
      </c>
      <c r="S8" s="26"/>
      <c r="T8" s="26"/>
      <c r="U8" s="26"/>
      <c r="V8" s="26" t="str">
        <f t="shared" ref="V8" si="1">IF(((V9+V10)/2)&gt;0, (V9+V10)/2, "")</f>
        <v/>
      </c>
      <c r="W8" s="26"/>
      <c r="X8" s="26"/>
      <c r="Y8" s="26"/>
      <c r="Z8" s="26" t="str">
        <f t="shared" ref="Z8" si="2">IF(((Z9+Z10)/2)&gt;0, (Z9+Z10)/2, "")</f>
        <v/>
      </c>
      <c r="AA8" s="26"/>
      <c r="AB8" s="26"/>
      <c r="AC8" s="26"/>
      <c r="AD8" s="27" t="str">
        <f t="shared" ref="AD8:AD15" si="3">IF(COUNT(N8:AC8)=4,SUM(N8:AC8)/4,"")</f>
        <v/>
      </c>
      <c r="AE8" s="28"/>
      <c r="AF8" s="28"/>
      <c r="AG8" s="28"/>
      <c r="AH8" s="28"/>
      <c r="AI8" s="29"/>
      <c r="AJ8" s="26" t="str">
        <f t="shared" ref="AJ8:AJ15" si="4">IF(AD8&lt;&gt;"",IF(AD8 &gt;= 75, "Passed", "Failed"),"")</f>
        <v/>
      </c>
      <c r="AK8" s="26"/>
      <c r="AL8" s="26"/>
      <c r="AM8" s="26"/>
      <c r="AN8" s="26"/>
    </row>
    <row r="9" spans="1:40" ht="12.95" customHeight="1" x14ac:dyDescent="0.25">
      <c r="A9" s="36" t="s">
        <v>76</v>
      </c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7" t="str">
        <f t="shared" si="3"/>
        <v/>
      </c>
      <c r="AE9" s="28"/>
      <c r="AF9" s="28"/>
      <c r="AG9" s="28"/>
      <c r="AH9" s="28"/>
      <c r="AI9" s="29"/>
      <c r="AJ9" s="26" t="str">
        <f t="shared" si="4"/>
        <v/>
      </c>
      <c r="AK9" s="26"/>
      <c r="AL9" s="26"/>
      <c r="AM9" s="26"/>
      <c r="AN9" s="26"/>
    </row>
    <row r="10" spans="1:40" ht="12.95" customHeight="1" x14ac:dyDescent="0.25">
      <c r="A10" s="36" t="s">
        <v>77</v>
      </c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0"/>
      <c r="O10" s="31"/>
      <c r="P10" s="31"/>
      <c r="Q10" s="32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7" t="str">
        <f t="shared" si="3"/>
        <v/>
      </c>
      <c r="AE10" s="28"/>
      <c r="AF10" s="28"/>
      <c r="AG10" s="28"/>
      <c r="AH10" s="28"/>
      <c r="AI10" s="29"/>
      <c r="AJ10" s="26" t="str">
        <f t="shared" si="4"/>
        <v/>
      </c>
      <c r="AK10" s="26"/>
      <c r="AL10" s="26"/>
      <c r="AM10" s="26"/>
      <c r="AN10" s="26"/>
    </row>
    <row r="11" spans="1:40" ht="12.95" customHeight="1" x14ac:dyDescent="0.25">
      <c r="A11" s="36" t="s">
        <v>78</v>
      </c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7" t="str">
        <f t="shared" si="3"/>
        <v/>
      </c>
      <c r="AE11" s="28"/>
      <c r="AF11" s="28"/>
      <c r="AG11" s="28"/>
      <c r="AH11" s="28"/>
      <c r="AI11" s="29"/>
      <c r="AJ11" s="26" t="str">
        <f t="shared" si="4"/>
        <v/>
      </c>
      <c r="AK11" s="26"/>
      <c r="AL11" s="26"/>
      <c r="AM11" s="26"/>
      <c r="AN11" s="26"/>
    </row>
    <row r="12" spans="1:40" ht="12.95" customHeight="1" x14ac:dyDescent="0.25">
      <c r="A12" s="36" t="s">
        <v>15</v>
      </c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26" t="str">
        <f>IF((N13*0.6)+(N14*0.2)+(N15*0.2)&gt;0,(N13*0.6)+(N14*0.2)+(N15*0.2), "")</f>
        <v/>
      </c>
      <c r="O12" s="26"/>
      <c r="P12" s="26"/>
      <c r="Q12" s="26"/>
      <c r="R12" s="26" t="str">
        <f t="shared" ref="R12" si="5">IF((R13*0.6)+(R14*0.2)+(R15*0.2)&gt;0,(R13*0.6)+(R14*0.2)+(R15*0.2), "")</f>
        <v/>
      </c>
      <c r="S12" s="26"/>
      <c r="T12" s="26"/>
      <c r="U12" s="26"/>
      <c r="V12" s="26" t="str">
        <f t="shared" ref="V12" si="6">IF((V13*0.6)+(V14*0.2)+(V15*0.2)&gt;0,(V13*0.6)+(V14*0.2)+(V15*0.2), "")</f>
        <v/>
      </c>
      <c r="W12" s="26"/>
      <c r="X12" s="26"/>
      <c r="Y12" s="26"/>
      <c r="Z12" s="26" t="str">
        <f t="shared" ref="Z12" si="7">IF((Z13*0.6)+(Z14*0.2)+(Z15*0.2)&gt;0,(Z13*0.6)+(Z14*0.2)+(Z15*0.2), "")</f>
        <v/>
      </c>
      <c r="AA12" s="26"/>
      <c r="AB12" s="26"/>
      <c r="AC12" s="26"/>
      <c r="AD12" s="27" t="str">
        <f t="shared" si="3"/>
        <v/>
      </c>
      <c r="AE12" s="28"/>
      <c r="AF12" s="28"/>
      <c r="AG12" s="28"/>
      <c r="AH12" s="28"/>
      <c r="AI12" s="29"/>
      <c r="AJ12" s="26" t="str">
        <f t="shared" si="4"/>
        <v/>
      </c>
      <c r="AK12" s="26"/>
      <c r="AL12" s="26"/>
      <c r="AM12" s="26"/>
      <c r="AN12" s="26"/>
    </row>
    <row r="13" spans="1:40" ht="12.95" customHeight="1" x14ac:dyDescent="0.25">
      <c r="A13" s="6"/>
      <c r="B13" s="34" t="s">
        <v>15</v>
      </c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5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7" t="str">
        <f t="shared" si="3"/>
        <v/>
      </c>
      <c r="AE13" s="28"/>
      <c r="AF13" s="28"/>
      <c r="AG13" s="28"/>
      <c r="AH13" s="28"/>
      <c r="AI13" s="29"/>
      <c r="AJ13" s="26" t="str">
        <f t="shared" si="4"/>
        <v/>
      </c>
      <c r="AK13" s="26"/>
      <c r="AL13" s="26"/>
      <c r="AM13" s="26"/>
      <c r="AN13" s="26"/>
    </row>
    <row r="14" spans="1:40" ht="12.95" customHeight="1" x14ac:dyDescent="0.25">
      <c r="A14" s="6"/>
      <c r="B14" s="34" t="s">
        <v>79</v>
      </c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5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7" t="str">
        <f t="shared" si="3"/>
        <v/>
      </c>
      <c r="AE14" s="28"/>
      <c r="AF14" s="28"/>
      <c r="AG14" s="28"/>
      <c r="AH14" s="28"/>
      <c r="AI14" s="29"/>
      <c r="AJ14" s="26" t="str">
        <f t="shared" si="4"/>
        <v/>
      </c>
      <c r="AK14" s="26"/>
      <c r="AL14" s="26"/>
      <c r="AM14" s="26"/>
      <c r="AN14" s="26"/>
    </row>
    <row r="15" spans="1:40" ht="12.95" customHeight="1" x14ac:dyDescent="0.25">
      <c r="A15" s="6"/>
      <c r="B15" s="34" t="s">
        <v>14</v>
      </c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5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7" t="str">
        <f t="shared" si="3"/>
        <v/>
      </c>
      <c r="AE15" s="28"/>
      <c r="AF15" s="28"/>
      <c r="AG15" s="28"/>
      <c r="AH15" s="28"/>
      <c r="AI15" s="29"/>
      <c r="AJ15" s="26" t="str">
        <f t="shared" si="4"/>
        <v/>
      </c>
      <c r="AK15" s="26"/>
      <c r="AL15" s="26"/>
      <c r="AM15" s="26"/>
      <c r="AN15" s="26"/>
    </row>
    <row r="16" spans="1:40" ht="12.95" customHeight="1" x14ac:dyDescent="0.25">
      <c r="A16" s="75" t="s">
        <v>80</v>
      </c>
      <c r="B16" s="76"/>
      <c r="C16" s="76"/>
      <c r="D16" s="76"/>
      <c r="E16" s="76"/>
      <c r="F16" s="76"/>
      <c r="G16" s="76"/>
      <c r="H16" s="76"/>
      <c r="I16" s="76"/>
      <c r="J16" s="76"/>
      <c r="K16" s="76"/>
      <c r="L16" s="76"/>
      <c r="M16" s="77"/>
      <c r="N16" s="26" t="str">
        <f>IF((N17*0.6)+(N18*0.2)+(N19*0.2)&gt;0, (N17*0.6)+(N18*0.2)+(N19*0.2), "")</f>
        <v/>
      </c>
      <c r="O16" s="26"/>
      <c r="P16" s="26"/>
      <c r="Q16" s="26"/>
      <c r="R16" s="26" t="str">
        <f t="shared" ref="R16" si="8">IF((R17*0.6)+(R18*0.2)+(R19*0.2)&gt;0, (R17*0.6)+(R18*0.2)+(R19*0.2), "")</f>
        <v/>
      </c>
      <c r="S16" s="26"/>
      <c r="T16" s="26"/>
      <c r="U16" s="26"/>
      <c r="V16" s="26" t="str">
        <f t="shared" ref="V16" si="9">IF((V17*0.6)+(V18*0.2)+(V19*0.2)&gt;0, (V17*0.6)+(V18*0.2)+(V19*0.2), "")</f>
        <v/>
      </c>
      <c r="W16" s="26"/>
      <c r="X16" s="26"/>
      <c r="Y16" s="26"/>
      <c r="Z16" s="26" t="str">
        <f t="shared" ref="Z16" si="10">IF((Z17*0.6)+(Z18*0.2)+(Z19*0.2)&gt;0, (Z17*0.6)+(Z18*0.2)+(Z19*0.2), "")</f>
        <v/>
      </c>
      <c r="AA16" s="26"/>
      <c r="AB16" s="26"/>
      <c r="AC16" s="26"/>
      <c r="AD16" s="27" t="str">
        <f t="shared" ref="AD16" si="11">IF(COUNT(N16:AC16)=4,SUM(N16:AC16)/4,"")</f>
        <v/>
      </c>
      <c r="AE16" s="28"/>
      <c r="AF16" s="28"/>
      <c r="AG16" s="28"/>
      <c r="AH16" s="28"/>
      <c r="AI16" s="29"/>
      <c r="AJ16" s="26" t="str">
        <f t="shared" ref="AJ16" si="12">IF(AD16&lt;&gt;"",IF(AD16 &gt;= 75, "Passed", "Failed"),"")</f>
        <v/>
      </c>
      <c r="AK16" s="26"/>
      <c r="AL16" s="26"/>
      <c r="AM16" s="26"/>
      <c r="AN16" s="26"/>
    </row>
    <row r="17" spans="1:40" ht="12.95" customHeight="1" x14ac:dyDescent="0.25">
      <c r="A17" s="6"/>
      <c r="B17" s="34" t="s">
        <v>85</v>
      </c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5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7" t="str">
        <f t="shared" ref="AD17:AD19" si="13">IF(COUNT(N17:AC17)=4,SUM(N17:AC17)/4,"")</f>
        <v/>
      </c>
      <c r="AE17" s="28"/>
      <c r="AF17" s="28"/>
      <c r="AG17" s="28"/>
      <c r="AH17" s="28"/>
      <c r="AI17" s="29"/>
      <c r="AJ17" s="26" t="str">
        <f t="shared" ref="AJ17" si="14">IF(AD17&lt;&gt;"",IF(AD17 &gt;= 75, "Passed", "Failed"),"")</f>
        <v/>
      </c>
      <c r="AK17" s="26"/>
      <c r="AL17" s="26"/>
      <c r="AM17" s="26"/>
      <c r="AN17" s="26"/>
    </row>
    <row r="18" spans="1:40" ht="12.95" customHeight="1" x14ac:dyDescent="0.25">
      <c r="A18" s="36" t="s">
        <v>81</v>
      </c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7" t="str">
        <f t="shared" si="13"/>
        <v/>
      </c>
      <c r="AE18" s="28"/>
      <c r="AF18" s="28"/>
      <c r="AG18" s="28"/>
      <c r="AH18" s="28"/>
      <c r="AI18" s="29"/>
      <c r="AJ18" s="26" t="str">
        <f t="shared" ref="AJ18:AJ19" si="15">IF(AD18&lt;&gt;"",IF(AD18 &gt;= 75, "Passed", "Failed"),"")</f>
        <v/>
      </c>
      <c r="AK18" s="26"/>
      <c r="AL18" s="26"/>
      <c r="AM18" s="26"/>
      <c r="AN18" s="26"/>
    </row>
    <row r="19" spans="1:40" ht="12.95" customHeight="1" x14ac:dyDescent="0.25">
      <c r="A19" s="33" t="s">
        <v>82</v>
      </c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5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7" t="str">
        <f t="shared" si="13"/>
        <v/>
      </c>
      <c r="AE19" s="28"/>
      <c r="AF19" s="28"/>
      <c r="AG19" s="28"/>
      <c r="AH19" s="28"/>
      <c r="AI19" s="29"/>
      <c r="AJ19" s="26" t="str">
        <f t="shared" si="15"/>
        <v/>
      </c>
      <c r="AK19" s="26"/>
      <c r="AL19" s="26"/>
      <c r="AM19" s="26"/>
      <c r="AN19" s="26"/>
    </row>
    <row r="20" spans="1:40" ht="12.95" customHeight="1" x14ac:dyDescent="0.25">
      <c r="A20" s="36" t="s">
        <v>83</v>
      </c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7"/>
      <c r="AE20" s="28"/>
      <c r="AF20" s="28"/>
      <c r="AG20" s="28"/>
      <c r="AH20" s="28"/>
      <c r="AI20" s="29"/>
      <c r="AJ20" s="26"/>
      <c r="AK20" s="26"/>
      <c r="AL20" s="26"/>
      <c r="AM20" s="26"/>
      <c r="AN20" s="26"/>
    </row>
    <row r="21" spans="1:40" ht="12.95" customHeight="1" x14ac:dyDescent="0.25">
      <c r="A21" s="33" t="s">
        <v>16</v>
      </c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5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7"/>
      <c r="AE21" s="28"/>
      <c r="AF21" s="28"/>
      <c r="AG21" s="28"/>
      <c r="AH21" s="28"/>
      <c r="AI21" s="29"/>
      <c r="AJ21" s="30"/>
      <c r="AK21" s="31"/>
      <c r="AL21" s="31"/>
      <c r="AM21" s="32"/>
      <c r="AN21" s="14"/>
    </row>
    <row r="22" spans="1:40" ht="12.95" customHeight="1" x14ac:dyDescent="0.25">
      <c r="A22" s="46" t="s">
        <v>61</v>
      </c>
      <c r="B22" s="4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7" t="str">
        <f t="shared" ref="AD22" si="16">IF(COUNT(N22:AC22)=4,SUM(N22:AC22)/4,"")</f>
        <v/>
      </c>
      <c r="AE22" s="28"/>
      <c r="AF22" s="28"/>
      <c r="AG22" s="28"/>
      <c r="AH22" s="28"/>
      <c r="AI22" s="29"/>
      <c r="AJ22" s="26" t="str">
        <f t="shared" ref="AJ22" si="17">IF(AD22&lt;&gt;"",IF(AD22 &gt;= 75, "Passed", "Failed"),"")</f>
        <v/>
      </c>
      <c r="AK22" s="26"/>
      <c r="AL22" s="26"/>
      <c r="AM22" s="26"/>
      <c r="AN22" s="26"/>
    </row>
    <row r="23" spans="1:40" ht="12.95" customHeight="1" x14ac:dyDescent="0.25">
      <c r="A23" s="6"/>
      <c r="B23" s="7"/>
      <c r="C23" s="49" t="s">
        <v>17</v>
      </c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42" t="str">
        <f>IF(COUNT(N7,N8,N11,N12,N16,N22)=6, AVERAGE(N7,N8,N11,N12,N16,N22),"")</f>
        <v/>
      </c>
      <c r="O23" s="42"/>
      <c r="P23" s="42"/>
      <c r="Q23" s="42"/>
      <c r="R23" s="42" t="str">
        <f t="shared" ref="R23" si="18">IF(COUNT(R7,R8,R11,R12,R16,R22)=6, AVERAGE(R7,R8,R11,R12,R16,R22),"")</f>
        <v/>
      </c>
      <c r="S23" s="42"/>
      <c r="T23" s="42"/>
      <c r="U23" s="42"/>
      <c r="V23" s="42" t="str">
        <f t="shared" ref="V23" si="19">IF(COUNT(V7,V8,V11,V12,V16,V22)=6, AVERAGE(V7,V8,V11,V12,V16,V22),"")</f>
        <v/>
      </c>
      <c r="W23" s="42"/>
      <c r="X23" s="42"/>
      <c r="Y23" s="42"/>
      <c r="Z23" s="42" t="str">
        <f t="shared" ref="Z23" si="20">IF(COUNT(Z7,Z8,Z11,Z12,Z16,Z22)=6, AVERAGE(Z7,Z8,Z11,Z12,Z16,Z22),"")</f>
        <v/>
      </c>
      <c r="AA23" s="42"/>
      <c r="AB23" s="42"/>
      <c r="AC23" s="42"/>
      <c r="AD23" s="56"/>
      <c r="AE23" s="57"/>
      <c r="AF23" s="57"/>
      <c r="AG23" s="57"/>
      <c r="AH23" s="57"/>
      <c r="AI23" s="58"/>
      <c r="AJ23" s="26" t="str">
        <f>IF(AD24&lt;&gt;"",IF(AD24 &gt;= 75, "Passed", "Failed"),"")</f>
        <v/>
      </c>
      <c r="AK23" s="26"/>
      <c r="AL23" s="26"/>
      <c r="AM23" s="26"/>
      <c r="AN23" s="26"/>
    </row>
    <row r="24" spans="1:40" ht="12.95" customHeight="1" x14ac:dyDescent="0.25">
      <c r="A24" s="6"/>
      <c r="B24" s="7"/>
      <c r="C24" s="47" t="s">
        <v>19</v>
      </c>
      <c r="D24" s="47"/>
      <c r="E24" s="47"/>
      <c r="F24" s="47"/>
      <c r="G24" s="47"/>
      <c r="H24" s="47"/>
      <c r="I24" s="47"/>
      <c r="J24" s="47"/>
      <c r="K24" s="47"/>
      <c r="L24" s="47"/>
      <c r="M24" s="48"/>
      <c r="N24" s="43" t="s">
        <v>18</v>
      </c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5"/>
      <c r="AD24" s="53" t="str">
        <f>IF(COUNT(AD7,AD8,AD11,AD12,AD16,AD22)=6, AVERAGE(AD7,AD8,AD11,AD12,AD16,AD22), "")</f>
        <v/>
      </c>
      <c r="AE24" s="54"/>
      <c r="AF24" s="54"/>
      <c r="AG24" s="54"/>
      <c r="AH24" s="54"/>
      <c r="AI24" s="55"/>
      <c r="AJ24" s="4"/>
      <c r="AK24" s="4"/>
      <c r="AL24" s="4"/>
      <c r="AM24" s="4"/>
      <c r="AN24" s="4"/>
    </row>
    <row r="25" spans="1:40" ht="4.1500000000000004" customHeight="1" x14ac:dyDescent="0.25">
      <c r="A25" s="5"/>
      <c r="B25" s="5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8"/>
      <c r="AE25" s="8"/>
      <c r="AF25" s="8"/>
      <c r="AG25" s="8"/>
      <c r="AH25" s="8"/>
      <c r="AI25" s="8"/>
      <c r="AJ25" s="4"/>
      <c r="AK25" s="4"/>
      <c r="AL25" s="4"/>
      <c r="AM25" s="4"/>
      <c r="AN25" s="4"/>
    </row>
    <row r="26" spans="1:40" ht="12.95" customHeight="1" x14ac:dyDescent="0.25">
      <c r="A26" s="1" t="s">
        <v>20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2"/>
      <c r="Y26" s="2"/>
    </row>
    <row r="27" spans="1:40" ht="12.95" customHeight="1" x14ac:dyDescent="0.25">
      <c r="A27" s="74" t="s">
        <v>21</v>
      </c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51" t="s">
        <v>8</v>
      </c>
      <c r="Q27" s="51"/>
      <c r="R27" s="51" t="s">
        <v>9</v>
      </c>
      <c r="S27" s="51"/>
      <c r="T27" s="51" t="s">
        <v>10</v>
      </c>
      <c r="U27" s="51"/>
      <c r="V27" s="51" t="s">
        <v>11</v>
      </c>
      <c r="W27" s="51"/>
      <c r="Y27" s="52" t="s">
        <v>50</v>
      </c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  <c r="AK27" s="3"/>
      <c r="AL27" s="3"/>
      <c r="AM27" s="3"/>
      <c r="AN27" s="3"/>
    </row>
    <row r="28" spans="1:40" ht="12.95" customHeight="1" x14ac:dyDescent="0.25">
      <c r="A28" s="40" t="s">
        <v>22</v>
      </c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37"/>
      <c r="Q28" s="37"/>
      <c r="R28" s="37"/>
      <c r="S28" s="37"/>
      <c r="T28" s="37"/>
      <c r="U28" s="37"/>
      <c r="V28" s="37"/>
      <c r="W28" s="37"/>
      <c r="Y28" s="41" t="s">
        <v>51</v>
      </c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N28" s="3">
        <v>5</v>
      </c>
    </row>
    <row r="29" spans="1:40" ht="12.95" customHeight="1" x14ac:dyDescent="0.25">
      <c r="A29" s="40" t="s">
        <v>23</v>
      </c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37"/>
      <c r="Q29" s="37"/>
      <c r="R29" s="37"/>
      <c r="S29" s="37"/>
      <c r="T29" s="37"/>
      <c r="U29" s="37"/>
      <c r="V29" s="37"/>
      <c r="W29" s="37"/>
      <c r="Y29" s="41" t="s">
        <v>52</v>
      </c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1"/>
      <c r="AK29" s="41"/>
      <c r="AL29" s="41"/>
      <c r="AM29" s="41"/>
      <c r="AN29" s="3">
        <v>4</v>
      </c>
    </row>
    <row r="30" spans="1:40" ht="12.95" customHeight="1" x14ac:dyDescent="0.25">
      <c r="A30" s="40" t="s">
        <v>24</v>
      </c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37"/>
      <c r="Q30" s="37"/>
      <c r="R30" s="37"/>
      <c r="S30" s="37"/>
      <c r="T30" s="37"/>
      <c r="U30" s="37"/>
      <c r="V30" s="37"/>
      <c r="W30" s="37"/>
      <c r="Y30" s="41" t="s">
        <v>53</v>
      </c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3">
        <v>3</v>
      </c>
    </row>
    <row r="31" spans="1:40" ht="12.95" customHeight="1" x14ac:dyDescent="0.25">
      <c r="A31" s="40" t="s">
        <v>25</v>
      </c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37"/>
      <c r="Q31" s="37"/>
      <c r="R31" s="37"/>
      <c r="S31" s="37"/>
      <c r="T31" s="37"/>
      <c r="U31" s="37"/>
      <c r="V31" s="37"/>
      <c r="W31" s="37"/>
      <c r="Y31" s="41" t="s">
        <v>54</v>
      </c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1"/>
      <c r="AM31" s="41"/>
      <c r="AN31" s="3">
        <v>2</v>
      </c>
    </row>
    <row r="32" spans="1:40" ht="12.95" customHeight="1" x14ac:dyDescent="0.25">
      <c r="A32" s="40" t="s">
        <v>26</v>
      </c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37"/>
      <c r="Q32" s="37"/>
      <c r="R32" s="37"/>
      <c r="S32" s="37"/>
      <c r="T32" s="37"/>
      <c r="U32" s="37"/>
      <c r="V32" s="37"/>
      <c r="W32" s="37"/>
      <c r="Y32" s="41" t="s">
        <v>56</v>
      </c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3">
        <v>1</v>
      </c>
    </row>
    <row r="33" spans="1:40" ht="12.95" customHeight="1" x14ac:dyDescent="0.25">
      <c r="A33" s="40" t="s">
        <v>27</v>
      </c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37"/>
      <c r="Q33" s="37"/>
      <c r="R33" s="37"/>
      <c r="S33" s="37"/>
      <c r="T33" s="37"/>
      <c r="U33" s="37"/>
      <c r="V33" s="37"/>
      <c r="W33" s="37"/>
      <c r="X33" s="3"/>
      <c r="Y33" s="41" t="s">
        <v>55</v>
      </c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3">
        <v>0</v>
      </c>
    </row>
    <row r="34" spans="1:40" ht="12.95" customHeight="1" x14ac:dyDescent="0.25">
      <c r="A34" s="40" t="s">
        <v>28</v>
      </c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37"/>
      <c r="Q34" s="37"/>
      <c r="R34" s="37"/>
      <c r="S34" s="37"/>
      <c r="T34" s="37"/>
      <c r="U34" s="37"/>
      <c r="V34" s="37"/>
      <c r="W34" s="37"/>
      <c r="X34" s="3"/>
    </row>
    <row r="35" spans="1:40" ht="12.95" customHeight="1" x14ac:dyDescent="0.25">
      <c r="A35" s="40" t="s">
        <v>29</v>
      </c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37"/>
      <c r="Q35" s="37"/>
      <c r="R35" s="37"/>
      <c r="S35" s="37"/>
      <c r="T35" s="37"/>
      <c r="U35" s="37"/>
      <c r="V35" s="37"/>
      <c r="W35" s="37"/>
      <c r="X35" s="3"/>
    </row>
    <row r="36" spans="1:40" ht="12.95" customHeight="1" x14ac:dyDescent="0.25">
      <c r="A36" s="40" t="s">
        <v>30</v>
      </c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37"/>
      <c r="Q36" s="37"/>
      <c r="R36" s="37"/>
      <c r="S36" s="37"/>
      <c r="T36" s="37"/>
      <c r="U36" s="37"/>
      <c r="V36" s="37"/>
      <c r="W36" s="37"/>
      <c r="X36" s="3"/>
    </row>
    <row r="37" spans="1:40" ht="12.95" customHeight="1" x14ac:dyDescent="0.25">
      <c r="A37" s="40" t="s">
        <v>31</v>
      </c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37"/>
      <c r="Q37" s="37"/>
      <c r="R37" s="37"/>
      <c r="S37" s="37"/>
      <c r="T37" s="37"/>
      <c r="U37" s="37"/>
      <c r="V37" s="37"/>
      <c r="W37" s="37"/>
      <c r="X37" s="3"/>
    </row>
    <row r="38" spans="1:40" ht="12.95" customHeight="1" x14ac:dyDescent="0.25">
      <c r="A38" s="40" t="s">
        <v>32</v>
      </c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37"/>
      <c r="Q38" s="37"/>
      <c r="R38" s="37"/>
      <c r="S38" s="37"/>
      <c r="T38" s="37"/>
      <c r="U38" s="37"/>
      <c r="V38" s="37"/>
      <c r="W38" s="37"/>
      <c r="X38" s="3"/>
    </row>
    <row r="39" spans="1:40" ht="12.95" customHeight="1" x14ac:dyDescent="0.25">
      <c r="A39" s="40" t="s">
        <v>33</v>
      </c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37"/>
      <c r="Q39" s="37"/>
      <c r="R39" s="37"/>
      <c r="S39" s="37"/>
      <c r="T39" s="37"/>
      <c r="U39" s="37"/>
      <c r="V39" s="37"/>
      <c r="W39" s="37"/>
      <c r="X39" s="3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</row>
    <row r="40" spans="1:40" ht="12.2" customHeight="1" x14ac:dyDescent="0.25">
      <c r="A40" s="38" t="s">
        <v>34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9">
        <f>SUM(P28:Q39)/12</f>
        <v>0</v>
      </c>
      <c r="Q40" s="39"/>
      <c r="R40" s="39">
        <f t="shared" ref="R40" si="21">SUM(R28:S39)/12</f>
        <v>0</v>
      </c>
      <c r="S40" s="39"/>
      <c r="T40" s="39">
        <f t="shared" ref="T40" si="22">SUM(T28:U39)/12</f>
        <v>0</v>
      </c>
      <c r="U40" s="39"/>
      <c r="V40" s="39">
        <f t="shared" ref="V40" si="23">SUM(V28:W39)/12</f>
        <v>0</v>
      </c>
      <c r="W40" s="39"/>
      <c r="X40" s="3"/>
      <c r="AD40" s="2"/>
      <c r="AE40" s="2"/>
      <c r="AF40" s="21"/>
      <c r="AG40" s="21"/>
      <c r="AH40" s="21"/>
      <c r="AI40" s="21"/>
      <c r="AJ40" s="21"/>
      <c r="AK40" s="21"/>
      <c r="AL40" s="3"/>
      <c r="AM40" s="3"/>
    </row>
    <row r="41" spans="1:40" ht="12.2" customHeight="1" x14ac:dyDescent="0.25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2"/>
      <c r="Q41" s="12"/>
      <c r="R41" s="12"/>
      <c r="S41" s="12"/>
      <c r="T41" s="12"/>
      <c r="U41" s="12"/>
      <c r="V41" s="12"/>
      <c r="W41" s="12"/>
      <c r="X41" s="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3"/>
    </row>
    <row r="42" spans="1:40" ht="12.95" customHeight="1" x14ac:dyDescent="0.25">
      <c r="A42" s="11"/>
      <c r="B42" s="11"/>
      <c r="C42" s="11"/>
      <c r="D42" s="11"/>
      <c r="E42" s="11"/>
      <c r="F42" s="11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1"/>
      <c r="AD42" s="11"/>
      <c r="AG42" s="3"/>
      <c r="AH42" s="3"/>
      <c r="AI42" s="3"/>
      <c r="AJ42" s="3"/>
      <c r="AK42" s="3"/>
      <c r="AL42" s="3"/>
      <c r="AM42" s="3"/>
      <c r="AN42" s="3"/>
    </row>
    <row r="43" spans="1:40" ht="12.95" customHeight="1" x14ac:dyDescent="0.25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3"/>
      <c r="AB43" s="3"/>
      <c r="AC43" s="17"/>
      <c r="AD43" s="17"/>
      <c r="AG43" s="3"/>
      <c r="AH43" s="3"/>
      <c r="AI43" s="3"/>
      <c r="AJ43" s="3"/>
      <c r="AK43" s="3"/>
      <c r="AL43" s="3"/>
      <c r="AM43" s="3"/>
      <c r="AN43" s="3"/>
    </row>
    <row r="44" spans="1:40" ht="12.95" customHeight="1" x14ac:dyDescent="0.25"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AB44" s="2"/>
      <c r="AC44" s="2"/>
    </row>
    <row r="45" spans="1:40" x14ac:dyDescent="0.25">
      <c r="AA45" s="2"/>
      <c r="AB45" s="2"/>
      <c r="AC45" s="2"/>
    </row>
  </sheetData>
  <mergeCells count="221">
    <mergeCell ref="A34:O34"/>
    <mergeCell ref="A35:O35"/>
    <mergeCell ref="A5:M6"/>
    <mergeCell ref="N5:AC5"/>
    <mergeCell ref="N6:Q6"/>
    <mergeCell ref="R6:U6"/>
    <mergeCell ref="V6:Y6"/>
    <mergeCell ref="Z6:AC6"/>
    <mergeCell ref="N7:Q7"/>
    <mergeCell ref="N8:Q8"/>
    <mergeCell ref="N9:Q9"/>
    <mergeCell ref="N11:Q11"/>
    <mergeCell ref="N12:Q12"/>
    <mergeCell ref="N10:Q10"/>
    <mergeCell ref="Z14:AC14"/>
    <mergeCell ref="Z15:AC15"/>
    <mergeCell ref="N14:Q14"/>
    <mergeCell ref="V9:Y9"/>
    <mergeCell ref="V11:Y11"/>
    <mergeCell ref="V12:Y12"/>
    <mergeCell ref="V13:Y13"/>
    <mergeCell ref="V14:Y14"/>
    <mergeCell ref="R9:U9"/>
    <mergeCell ref="V15:Y15"/>
    <mergeCell ref="A36:O36"/>
    <mergeCell ref="A37:O37"/>
    <mergeCell ref="A27:O27"/>
    <mergeCell ref="A28:O28"/>
    <mergeCell ref="A29:O29"/>
    <mergeCell ref="A30:O30"/>
    <mergeCell ref="A31:O31"/>
    <mergeCell ref="R13:U13"/>
    <mergeCell ref="R14:U14"/>
    <mergeCell ref="R15:U15"/>
    <mergeCell ref="B15:M15"/>
    <mergeCell ref="N13:Q13"/>
    <mergeCell ref="N15:Q15"/>
    <mergeCell ref="R22:U22"/>
    <mergeCell ref="P28:Q28"/>
    <mergeCell ref="T28:U28"/>
    <mergeCell ref="P31:Q31"/>
    <mergeCell ref="R31:S31"/>
    <mergeCell ref="T31:U31"/>
    <mergeCell ref="P35:Q35"/>
    <mergeCell ref="B14:M14"/>
    <mergeCell ref="A16:M16"/>
    <mergeCell ref="A32:O32"/>
    <mergeCell ref="A33:O33"/>
    <mergeCell ref="V18:Y18"/>
    <mergeCell ref="N17:Q17"/>
    <mergeCell ref="N16:Q16"/>
    <mergeCell ref="R16:U16"/>
    <mergeCell ref="V16:Y16"/>
    <mergeCell ref="V8:Y8"/>
    <mergeCell ref="A8:M8"/>
    <mergeCell ref="A9:M9"/>
    <mergeCell ref="A11:M11"/>
    <mergeCell ref="A12:M12"/>
    <mergeCell ref="B13:M13"/>
    <mergeCell ref="A10:M10"/>
    <mergeCell ref="AJ5:AN6"/>
    <mergeCell ref="AD5:AI6"/>
    <mergeCell ref="A7:M7"/>
    <mergeCell ref="V7:Y7"/>
    <mergeCell ref="Z7:AC7"/>
    <mergeCell ref="Z8:AC8"/>
    <mergeCell ref="Z9:AC9"/>
    <mergeCell ref="Z11:AC11"/>
    <mergeCell ref="Z12:AC12"/>
    <mergeCell ref="R7:U7"/>
    <mergeCell ref="R8:U8"/>
    <mergeCell ref="R11:U11"/>
    <mergeCell ref="R12:U12"/>
    <mergeCell ref="V10:Y10"/>
    <mergeCell ref="R10:U10"/>
    <mergeCell ref="AJ11:AN11"/>
    <mergeCell ref="AJ12:AN12"/>
    <mergeCell ref="O1:AA1"/>
    <mergeCell ref="Q2:Z2"/>
    <mergeCell ref="AH4:AN4"/>
    <mergeCell ref="Q4:T4"/>
    <mergeCell ref="V3:Y3"/>
    <mergeCell ref="A3:D3"/>
    <mergeCell ref="A4:F4"/>
    <mergeCell ref="E3:U3"/>
    <mergeCell ref="Z3:AN3"/>
    <mergeCell ref="U4:AG4"/>
    <mergeCell ref="G4:P4"/>
    <mergeCell ref="D2:O2"/>
    <mergeCell ref="A2:C2"/>
    <mergeCell ref="T38:U38"/>
    <mergeCell ref="V38:W38"/>
    <mergeCell ref="R36:S36"/>
    <mergeCell ref="AJ18:AN18"/>
    <mergeCell ref="AJ7:AN7"/>
    <mergeCell ref="AJ8:AN8"/>
    <mergeCell ref="AJ9:AN9"/>
    <mergeCell ref="AD18:AI18"/>
    <mergeCell ref="AD7:AI7"/>
    <mergeCell ref="AD8:AI8"/>
    <mergeCell ref="AD9:AI9"/>
    <mergeCell ref="AD11:AI11"/>
    <mergeCell ref="AD12:AI12"/>
    <mergeCell ref="AD13:AI13"/>
    <mergeCell ref="AD14:AI14"/>
    <mergeCell ref="AD15:AI15"/>
    <mergeCell ref="AD17:AI17"/>
    <mergeCell ref="AJ10:AN10"/>
    <mergeCell ref="AD10:AI10"/>
    <mergeCell ref="Z17:AC17"/>
    <mergeCell ref="Z10:AC10"/>
    <mergeCell ref="Z13:AC13"/>
    <mergeCell ref="AJ22:AN22"/>
    <mergeCell ref="V19:Y19"/>
    <mergeCell ref="AJ13:AN13"/>
    <mergeCell ref="AJ14:AN14"/>
    <mergeCell ref="AJ15:AN15"/>
    <mergeCell ref="AJ17:AN17"/>
    <mergeCell ref="AJ19:AN19"/>
    <mergeCell ref="AD24:AI24"/>
    <mergeCell ref="AD19:AI19"/>
    <mergeCell ref="AD20:AI20"/>
    <mergeCell ref="AD22:AI22"/>
    <mergeCell ref="AD23:AI23"/>
    <mergeCell ref="Z22:AC22"/>
    <mergeCell ref="Z23:AC23"/>
    <mergeCell ref="N24:AC24"/>
    <mergeCell ref="V23:Y23"/>
    <mergeCell ref="Z19:AC19"/>
    <mergeCell ref="A38:O38"/>
    <mergeCell ref="P38:Q38"/>
    <mergeCell ref="A22:M22"/>
    <mergeCell ref="N22:Q22"/>
    <mergeCell ref="N20:Q20"/>
    <mergeCell ref="R23:U23"/>
    <mergeCell ref="C24:G24"/>
    <mergeCell ref="N23:Q23"/>
    <mergeCell ref="V20:Y20"/>
    <mergeCell ref="V22:Y22"/>
    <mergeCell ref="H24:M24"/>
    <mergeCell ref="C23:M23"/>
    <mergeCell ref="P27:Q27"/>
    <mergeCell ref="R27:S27"/>
    <mergeCell ref="T27:U27"/>
    <mergeCell ref="V27:W27"/>
    <mergeCell ref="Y27:AJ27"/>
    <mergeCell ref="AJ23:AN23"/>
    <mergeCell ref="R38:S38"/>
    <mergeCell ref="V28:W28"/>
    <mergeCell ref="P29:Q29"/>
    <mergeCell ref="R29:S29"/>
    <mergeCell ref="T29:U29"/>
    <mergeCell ref="V29:W29"/>
    <mergeCell ref="Y29:AM29"/>
    <mergeCell ref="Y28:AM28"/>
    <mergeCell ref="R28:S28"/>
    <mergeCell ref="P30:Q30"/>
    <mergeCell ref="R30:S30"/>
    <mergeCell ref="T30:U30"/>
    <mergeCell ref="V30:W30"/>
    <mergeCell ref="Y30:AM30"/>
    <mergeCell ref="V31:W31"/>
    <mergeCell ref="Y31:AM31"/>
    <mergeCell ref="P32:Q32"/>
    <mergeCell ref="R32:S32"/>
    <mergeCell ref="T32:U32"/>
    <mergeCell ref="V32:W32"/>
    <mergeCell ref="Y32:AM32"/>
    <mergeCell ref="P33:Q33"/>
    <mergeCell ref="R33:S33"/>
    <mergeCell ref="T33:U33"/>
    <mergeCell ref="V33:W33"/>
    <mergeCell ref="Y33:AM33"/>
    <mergeCell ref="T39:U39"/>
    <mergeCell ref="V39:W39"/>
    <mergeCell ref="A40:O40"/>
    <mergeCell ref="P40:Q40"/>
    <mergeCell ref="R40:S40"/>
    <mergeCell ref="T40:U40"/>
    <mergeCell ref="V40:W40"/>
    <mergeCell ref="P34:Q34"/>
    <mergeCell ref="R34:S34"/>
    <mergeCell ref="T34:U34"/>
    <mergeCell ref="V34:W34"/>
    <mergeCell ref="P36:Q36"/>
    <mergeCell ref="T36:U36"/>
    <mergeCell ref="V36:W36"/>
    <mergeCell ref="P37:Q37"/>
    <mergeCell ref="R37:S37"/>
    <mergeCell ref="T37:U37"/>
    <mergeCell ref="V37:W37"/>
    <mergeCell ref="A39:O39"/>
    <mergeCell ref="P39:Q39"/>
    <mergeCell ref="R39:S39"/>
    <mergeCell ref="V35:W35"/>
    <mergeCell ref="T35:U35"/>
    <mergeCell ref="R35:S35"/>
    <mergeCell ref="Z16:AC16"/>
    <mergeCell ref="AD16:AI16"/>
    <mergeCell ref="AJ16:AN16"/>
    <mergeCell ref="A21:M21"/>
    <mergeCell ref="N21:Q21"/>
    <mergeCell ref="R21:U21"/>
    <mergeCell ref="V21:Y21"/>
    <mergeCell ref="Z21:AC21"/>
    <mergeCell ref="AD21:AI21"/>
    <mergeCell ref="AJ21:AM21"/>
    <mergeCell ref="A19:M19"/>
    <mergeCell ref="A20:M20"/>
    <mergeCell ref="AJ20:AN20"/>
    <mergeCell ref="R20:U20"/>
    <mergeCell ref="B17:M17"/>
    <mergeCell ref="A18:M18"/>
    <mergeCell ref="Z18:AC18"/>
    <mergeCell ref="Z20:AC20"/>
    <mergeCell ref="R18:U18"/>
    <mergeCell ref="N19:Q19"/>
    <mergeCell ref="R19:U19"/>
    <mergeCell ref="R17:U17"/>
    <mergeCell ref="N18:Q18"/>
    <mergeCell ref="V17:Y17"/>
  </mergeCells>
  <conditionalFormatting sqref="N7:AC22">
    <cfRule type="cellIs" dxfId="1" priority="10" operator="lessThan">
      <formula>75</formula>
    </cfRule>
  </conditionalFormatting>
  <conditionalFormatting sqref="AD7:AI16">
    <cfRule type="cellIs" dxfId="7" priority="11" operator="lessThan">
      <formula>75</formula>
    </cfRule>
  </conditionalFormatting>
  <conditionalFormatting sqref="AD17:AI19">
    <cfRule type="cellIs" dxfId="6" priority="3" operator="lessThan">
      <formula>75</formula>
    </cfRule>
  </conditionalFormatting>
  <conditionalFormatting sqref="AD22:AI22">
    <cfRule type="cellIs" dxfId="5" priority="2" operator="lessThan">
      <formula>75</formula>
    </cfRule>
  </conditionalFormatting>
  <conditionalFormatting sqref="AJ7:AN16">
    <cfRule type="cellIs" dxfId="4" priority="7" operator="equal">
      <formula>"Failed"</formula>
    </cfRule>
  </conditionalFormatting>
  <conditionalFormatting sqref="AJ17:AN19">
    <cfRule type="cellIs" dxfId="3" priority="6" operator="equal">
      <formula>"Failed"</formula>
    </cfRule>
  </conditionalFormatting>
  <conditionalFormatting sqref="AJ22:AN23">
    <cfRule type="cellIs" dxfId="2" priority="5" operator="equal">
      <formula>"Failed"</formula>
    </cfRule>
  </conditionalFormatting>
  <conditionalFormatting sqref="AD24:AI24">
    <cfRule type="cellIs" dxfId="0" priority="1" operator="lessThan">
      <formula>75</formula>
    </cfRule>
  </conditionalFormatting>
  <printOptions horizontalCentered="1" verticalCentered="1"/>
  <pageMargins left="0.25" right="0.25" top="0.9" bottom="0.25" header="0" footer="0"/>
  <pageSetup paperSize="10000" scale="97" orientation="portrait" verticalDpi="0" r:id="rId1"/>
  <headerFooter scaleWithDoc="0">
    <oddHeader>&amp;L       &amp;G&amp;C&amp;"-,Bold"&amp;14 &amp;12BACOLOD TRINITY CHRISTIAN SCHOOL, INC.&amp;14
&amp;"-,Regular"&amp;8Villa Angela Subdivision, Phase 3, Bacolod City
DepEd Recognition No. 001 s. 1981, 006 s. 1983
&amp;10ACCREDITED BY ACSCU-ACI, CERTIFIED BY FAAP&amp;R&amp;9DepEd Form 138</oddHead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42"/>
  <sheetViews>
    <sheetView workbookViewId="0">
      <selection activeCell="AA3" sqref="AA3:AB3"/>
    </sheetView>
  </sheetViews>
  <sheetFormatPr defaultColWidth="9.140625" defaultRowHeight="15" x14ac:dyDescent="0.25"/>
  <cols>
    <col min="1" max="27" width="1.5703125" customWidth="1"/>
    <col min="28" max="28" width="2.7109375" customWidth="1"/>
    <col min="29" max="39" width="1.5703125" customWidth="1"/>
    <col min="40" max="40" width="3" customWidth="1"/>
  </cols>
  <sheetData>
    <row r="1" spans="1:40" ht="12.95" customHeight="1" x14ac:dyDescent="0.25">
      <c r="A1" s="93" t="s">
        <v>35</v>
      </c>
      <c r="B1" s="93"/>
      <c r="C1" s="93"/>
      <c r="D1" s="93"/>
      <c r="E1" s="93"/>
      <c r="F1" s="93"/>
      <c r="G1" s="91" t="s">
        <v>63</v>
      </c>
      <c r="H1" s="91"/>
      <c r="I1" s="91" t="s">
        <v>39</v>
      </c>
      <c r="J1" s="91"/>
      <c r="K1" s="91" t="s">
        <v>40</v>
      </c>
      <c r="L1" s="91"/>
      <c r="M1" s="91" t="s">
        <v>41</v>
      </c>
      <c r="N1" s="91"/>
      <c r="O1" s="91" t="s">
        <v>42</v>
      </c>
      <c r="P1" s="91"/>
      <c r="Q1" s="91" t="s">
        <v>43</v>
      </c>
      <c r="R1" s="91"/>
      <c r="S1" s="91" t="s">
        <v>44</v>
      </c>
      <c r="T1" s="91"/>
      <c r="U1" s="91" t="s">
        <v>45</v>
      </c>
      <c r="V1" s="91"/>
      <c r="W1" s="91" t="s">
        <v>46</v>
      </c>
      <c r="X1" s="91"/>
      <c r="Y1" s="91" t="s">
        <v>59</v>
      </c>
      <c r="Z1" s="91"/>
      <c r="AA1" s="91" t="s">
        <v>47</v>
      </c>
      <c r="AB1" s="91"/>
      <c r="AC1" s="16"/>
      <c r="AD1" s="16"/>
      <c r="AE1" s="16"/>
      <c r="AF1" s="16"/>
      <c r="AG1" s="16"/>
      <c r="AH1" s="16"/>
      <c r="AI1" s="16"/>
      <c r="AJ1" s="16"/>
      <c r="AK1" s="3"/>
      <c r="AL1" s="3"/>
      <c r="AM1" s="3"/>
      <c r="AN1" s="3"/>
    </row>
    <row r="2" spans="1:40" ht="12.95" customHeight="1" x14ac:dyDescent="0.25">
      <c r="A2" s="88" t="s">
        <v>36</v>
      </c>
      <c r="B2" s="88"/>
      <c r="C2" s="88"/>
      <c r="D2" s="88"/>
      <c r="E2" s="88"/>
      <c r="F2" s="88"/>
      <c r="G2" s="37">
        <v>9</v>
      </c>
      <c r="H2" s="37"/>
      <c r="I2" s="37">
        <v>21</v>
      </c>
      <c r="J2" s="37"/>
      <c r="K2" s="37">
        <v>23</v>
      </c>
      <c r="L2" s="37"/>
      <c r="M2" s="37">
        <v>23</v>
      </c>
      <c r="N2" s="37"/>
      <c r="O2" s="37">
        <v>21</v>
      </c>
      <c r="P2" s="37"/>
      <c r="Q2" s="37">
        <v>16</v>
      </c>
      <c r="R2" s="37"/>
      <c r="S2" s="37">
        <v>21</v>
      </c>
      <c r="T2" s="37"/>
      <c r="U2" s="37">
        <v>20</v>
      </c>
      <c r="V2" s="37"/>
      <c r="W2" s="37">
        <v>24</v>
      </c>
      <c r="X2" s="37"/>
      <c r="Y2" s="37">
        <v>10</v>
      </c>
      <c r="Z2" s="86"/>
      <c r="AA2" s="39">
        <f>SUM(G2:Z2)</f>
        <v>188</v>
      </c>
      <c r="AB2" s="39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3"/>
    </row>
    <row r="3" spans="1:40" ht="12.95" customHeight="1" x14ac:dyDescent="0.25">
      <c r="A3" s="88" t="s">
        <v>37</v>
      </c>
      <c r="B3" s="88"/>
      <c r="C3" s="88"/>
      <c r="D3" s="88"/>
      <c r="E3" s="88"/>
      <c r="F3" s="88"/>
      <c r="G3" s="37"/>
      <c r="H3" s="37"/>
      <c r="I3" s="37"/>
      <c r="J3" s="37"/>
      <c r="K3" s="37"/>
      <c r="L3" s="37"/>
      <c r="M3" s="37"/>
      <c r="N3" s="37"/>
      <c r="O3" s="37"/>
      <c r="P3" s="37"/>
      <c r="Q3" s="92"/>
      <c r="R3" s="92"/>
      <c r="S3" s="37"/>
      <c r="T3" s="37"/>
      <c r="U3" s="37"/>
      <c r="V3" s="37"/>
      <c r="W3" s="37"/>
      <c r="X3" s="37"/>
      <c r="Y3" s="89"/>
      <c r="Z3" s="90"/>
      <c r="AA3" s="39" t="str">
        <f>IF(SUM(G3:Z3)&gt;0,SUM(G3:Z3),"")</f>
        <v/>
      </c>
      <c r="AB3" s="39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3"/>
    </row>
    <row r="4" spans="1:40" ht="12.95" customHeight="1" x14ac:dyDescent="0.25">
      <c r="A4" s="88" t="s">
        <v>38</v>
      </c>
      <c r="B4" s="88"/>
      <c r="C4" s="88"/>
      <c r="D4" s="88"/>
      <c r="E4" s="88"/>
      <c r="F4" s="88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86"/>
      <c r="AA4" s="39" t="str">
        <f>IF(SUM(G4:Z4)&gt;0,SUM(G4:Z4),"")</f>
        <v/>
      </c>
      <c r="AB4" s="39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3"/>
    </row>
    <row r="5" spans="1:40" ht="12.95" customHeight="1" x14ac:dyDescent="0.25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3"/>
      <c r="Q5" s="3"/>
      <c r="R5" s="3"/>
      <c r="S5" s="3"/>
      <c r="T5" s="3"/>
      <c r="U5" s="3"/>
      <c r="V5" s="3"/>
      <c r="W5" s="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3"/>
    </row>
    <row r="6" spans="1:40" ht="12.95" customHeight="1" x14ac:dyDescent="0.25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3"/>
      <c r="Q6" s="3"/>
      <c r="R6" s="3"/>
      <c r="S6" s="3"/>
      <c r="T6" s="3"/>
      <c r="AA6" s="22" t="s">
        <v>48</v>
      </c>
      <c r="AD6" s="22"/>
      <c r="AE6" s="22"/>
      <c r="AF6" s="22"/>
      <c r="AG6" s="22"/>
      <c r="AH6" s="13"/>
      <c r="AI6" s="13"/>
      <c r="AJ6" s="13"/>
      <c r="AK6" s="13"/>
      <c r="AL6" s="13"/>
      <c r="AM6" s="13"/>
      <c r="AN6" s="3"/>
    </row>
    <row r="7" spans="1:40" ht="12.95" customHeight="1" x14ac:dyDescent="0.25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3"/>
      <c r="Q7" s="3"/>
      <c r="R7" s="3"/>
      <c r="S7" s="3"/>
      <c r="T7" s="3"/>
      <c r="AA7" s="84" t="s">
        <v>49</v>
      </c>
      <c r="AB7" s="84"/>
      <c r="AC7" s="84"/>
      <c r="AD7" s="84"/>
      <c r="AE7" s="84"/>
      <c r="AF7" s="84"/>
      <c r="AG7" s="84"/>
      <c r="AH7" s="84"/>
      <c r="AI7" s="84"/>
      <c r="AJ7" s="84"/>
      <c r="AK7" s="84"/>
      <c r="AL7" s="84"/>
      <c r="AM7" s="84"/>
    </row>
    <row r="8" spans="1:40" ht="12.95" customHeight="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3"/>
      <c r="Q8" s="3"/>
      <c r="R8" s="3"/>
      <c r="S8" s="3"/>
      <c r="T8" s="3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</row>
    <row r="9" spans="1:40" ht="12.95" customHeight="1" x14ac:dyDescent="0.25">
      <c r="A9" s="3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3"/>
    </row>
    <row r="10" spans="1:40" ht="12.95" customHeight="1" x14ac:dyDescent="0.25">
      <c r="A10" s="81" t="s">
        <v>64</v>
      </c>
      <c r="B10" s="81"/>
      <c r="C10" s="81"/>
      <c r="D10" s="81"/>
      <c r="E10" s="81"/>
      <c r="F10" s="81"/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81"/>
      <c r="AH10" s="1"/>
      <c r="AI10" s="1"/>
      <c r="AJ10" s="1"/>
      <c r="AK10" s="1"/>
      <c r="AL10" s="1"/>
      <c r="AM10" s="1"/>
      <c r="AN10" s="1"/>
    </row>
    <row r="11" spans="1:40" ht="12.95" customHeight="1" x14ac:dyDescent="0.25">
      <c r="A11" s="3"/>
      <c r="B11" s="17"/>
      <c r="C11" s="17"/>
      <c r="D11" s="17"/>
      <c r="E11" s="17"/>
      <c r="F11" s="17"/>
    </row>
    <row r="12" spans="1:40" ht="12.95" customHeight="1" x14ac:dyDescent="0.25">
      <c r="A12" s="78" t="s">
        <v>65</v>
      </c>
      <c r="B12" s="78"/>
      <c r="C12" s="78"/>
      <c r="D12" s="78"/>
      <c r="E12" s="78"/>
      <c r="F12" s="78"/>
      <c r="G12" s="78"/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78"/>
      <c r="AB12" s="78"/>
      <c r="AC12" s="78"/>
      <c r="AD12" s="78"/>
      <c r="AE12" s="78"/>
      <c r="AF12" s="78"/>
      <c r="AG12" s="78"/>
      <c r="AH12" s="78"/>
      <c r="AI12" s="78"/>
      <c r="AJ12" s="78"/>
      <c r="AK12" s="78"/>
      <c r="AL12" s="78"/>
      <c r="AM12" s="78"/>
      <c r="AN12" s="2"/>
    </row>
    <row r="13" spans="1:40" ht="12.95" customHeight="1" x14ac:dyDescent="0.25">
      <c r="A13" s="82" t="s">
        <v>66</v>
      </c>
      <c r="B13" s="82"/>
      <c r="C13" s="82"/>
      <c r="D13" s="82"/>
      <c r="E13" s="82"/>
      <c r="F13" s="82"/>
      <c r="G13" s="82"/>
      <c r="H13" s="82"/>
      <c r="I13" s="82"/>
      <c r="J13" s="82"/>
      <c r="K13" s="82"/>
      <c r="L13" s="82"/>
      <c r="M13" s="82"/>
      <c r="N13" s="82"/>
      <c r="O13" s="82"/>
      <c r="P13" s="82"/>
      <c r="Q13" s="82"/>
      <c r="R13" s="82"/>
      <c r="S13" s="78"/>
      <c r="T13" s="78"/>
      <c r="U13" s="78"/>
      <c r="V13" s="78"/>
      <c r="W13" s="78"/>
      <c r="X13" s="78"/>
      <c r="Y13" s="78"/>
      <c r="Z13" s="78"/>
      <c r="AA13" s="78"/>
      <c r="AB13" s="78"/>
      <c r="AC13" s="78"/>
      <c r="AD13" s="78"/>
      <c r="AE13" s="78"/>
      <c r="AF13" s="78"/>
      <c r="AG13" s="78"/>
      <c r="AH13" s="78"/>
      <c r="AI13" s="78"/>
      <c r="AJ13" s="78"/>
      <c r="AK13" s="78"/>
      <c r="AL13" s="78"/>
      <c r="AM13" s="78"/>
      <c r="AN13" s="2"/>
    </row>
    <row r="14" spans="1:40" ht="12.95" customHeight="1" x14ac:dyDescent="0.25">
      <c r="A14" s="82" t="s">
        <v>67</v>
      </c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78"/>
      <c r="T14" s="78"/>
      <c r="U14" s="78"/>
      <c r="V14" s="78"/>
      <c r="W14" s="78"/>
      <c r="X14" s="78"/>
      <c r="Y14" s="78"/>
      <c r="Z14" s="78"/>
      <c r="AA14" s="78"/>
      <c r="AB14" s="78"/>
      <c r="AC14" s="78"/>
      <c r="AD14" s="78"/>
      <c r="AE14" s="78"/>
      <c r="AF14" s="78"/>
      <c r="AG14" s="78"/>
      <c r="AH14" s="78"/>
      <c r="AI14" s="78"/>
      <c r="AJ14" s="78"/>
      <c r="AK14" s="78"/>
      <c r="AL14" s="78"/>
      <c r="AM14" s="78"/>
      <c r="AN14" s="2"/>
    </row>
    <row r="15" spans="1:40" ht="12.95" customHeight="1" x14ac:dyDescent="0.25">
      <c r="A15" s="82" t="s">
        <v>68</v>
      </c>
      <c r="B15" s="82"/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78"/>
      <c r="T15" s="78"/>
      <c r="U15" s="78"/>
      <c r="V15" s="78"/>
      <c r="W15" s="78"/>
      <c r="X15" s="78"/>
      <c r="Y15" s="78"/>
      <c r="Z15" s="78"/>
      <c r="AA15" s="78"/>
      <c r="AB15" s="78"/>
      <c r="AC15" s="78"/>
      <c r="AD15" s="78"/>
      <c r="AE15" s="78"/>
      <c r="AF15" s="78"/>
      <c r="AG15" s="78"/>
      <c r="AH15" s="78"/>
      <c r="AI15" s="78"/>
      <c r="AJ15" s="78"/>
      <c r="AK15" s="78"/>
      <c r="AL15" s="78"/>
      <c r="AM15" s="78"/>
      <c r="AN15" s="2"/>
    </row>
    <row r="16" spans="1:40" ht="12.95" customHeight="1" x14ac:dyDescent="0.25">
      <c r="A16" s="82" t="s">
        <v>69</v>
      </c>
      <c r="B16" s="82"/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7"/>
      <c r="T16" s="87"/>
      <c r="U16" s="87"/>
      <c r="V16" s="87"/>
      <c r="W16" s="87"/>
      <c r="X16" s="87"/>
      <c r="Y16" s="87"/>
      <c r="Z16" s="87"/>
      <c r="AA16" s="87"/>
      <c r="AB16" s="87"/>
      <c r="AC16" s="87"/>
      <c r="AD16" s="87"/>
      <c r="AE16" s="87"/>
      <c r="AF16" s="87"/>
      <c r="AG16" s="87"/>
      <c r="AH16" s="87"/>
      <c r="AI16" s="87"/>
      <c r="AJ16" s="87"/>
      <c r="AK16" s="87"/>
      <c r="AL16" s="87"/>
      <c r="AM16" s="87"/>
      <c r="AN16" s="2"/>
    </row>
    <row r="17" spans="1:40" ht="12.95" customHeight="1" x14ac:dyDescent="0.25">
      <c r="AC17" s="85"/>
      <c r="AD17" s="85"/>
    </row>
    <row r="18" spans="1:40" ht="12.95" customHeight="1" x14ac:dyDescent="0.25"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AB18" s="2"/>
      <c r="AC18" s="2"/>
    </row>
    <row r="19" spans="1:40" ht="12.95" customHeight="1" x14ac:dyDescent="0.25">
      <c r="AA19" s="22" t="s">
        <v>48</v>
      </c>
      <c r="AD19" s="22"/>
      <c r="AE19" s="22"/>
      <c r="AF19" s="22"/>
      <c r="AG19" s="22"/>
      <c r="AH19" s="22"/>
      <c r="AI19" s="22"/>
      <c r="AJ19" s="22"/>
      <c r="AK19" s="22"/>
      <c r="AL19" s="22"/>
      <c r="AM19" s="22"/>
    </row>
    <row r="20" spans="1:40" ht="12.95" customHeight="1" x14ac:dyDescent="0.25">
      <c r="AA20" s="84" t="s">
        <v>49</v>
      </c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4"/>
    </row>
    <row r="21" spans="1:40" ht="12.95" customHeight="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</row>
    <row r="22" spans="1:40" ht="12.95" customHeight="1" x14ac:dyDescent="0.25"/>
    <row r="23" spans="1:40" ht="12.95" customHeight="1" x14ac:dyDescent="0.25">
      <c r="A23" s="81" t="s">
        <v>70</v>
      </c>
      <c r="B23" s="81"/>
      <c r="C23" s="81"/>
      <c r="D23" s="81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1"/>
      <c r="AB23" s="81"/>
      <c r="AC23" s="81"/>
      <c r="AD23" s="81"/>
      <c r="AE23" s="81"/>
      <c r="AF23" s="81"/>
      <c r="AG23" s="81"/>
      <c r="AH23" s="1"/>
      <c r="AI23" s="1"/>
      <c r="AJ23" s="1"/>
      <c r="AK23" s="1"/>
      <c r="AL23" s="1"/>
      <c r="AM23" s="1"/>
      <c r="AN23" s="1"/>
    </row>
    <row r="24" spans="1:40" ht="12.95" customHeight="1" x14ac:dyDescent="0.25">
      <c r="A24" s="82" t="s">
        <v>71</v>
      </c>
      <c r="B24" s="82"/>
      <c r="C24" s="82"/>
      <c r="D24" s="82"/>
      <c r="E24" s="82"/>
      <c r="F24" s="82"/>
      <c r="G24" s="82"/>
      <c r="H24" s="82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  <c r="AA24" s="78"/>
      <c r="AB24" s="78"/>
      <c r="AC24" s="78"/>
      <c r="AD24" s="78"/>
      <c r="AE24" s="78"/>
      <c r="AF24" s="78"/>
      <c r="AG24" s="78"/>
      <c r="AH24" s="78"/>
      <c r="AI24" s="78"/>
      <c r="AJ24" s="78"/>
      <c r="AK24" s="78"/>
      <c r="AL24" s="78"/>
      <c r="AM24" s="78"/>
      <c r="AN24" s="2"/>
    </row>
    <row r="25" spans="1:40" ht="12.95" customHeight="1" x14ac:dyDescent="0.25">
      <c r="A25" s="82" t="s">
        <v>69</v>
      </c>
      <c r="B25" s="82"/>
      <c r="C25" s="82"/>
      <c r="D25" s="82"/>
      <c r="E25" s="82"/>
      <c r="F25" s="82"/>
      <c r="G25" s="82"/>
      <c r="H25" s="82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  <c r="AA25" s="78"/>
      <c r="AB25" s="78"/>
      <c r="AC25" s="78"/>
      <c r="AD25" s="78"/>
      <c r="AE25" s="78"/>
      <c r="AF25" s="78"/>
      <c r="AG25" s="78"/>
      <c r="AH25" s="78"/>
      <c r="AI25" s="78"/>
      <c r="AJ25" s="78"/>
      <c r="AK25" s="78"/>
      <c r="AL25" s="78"/>
      <c r="AM25" s="78"/>
      <c r="AN25" s="2"/>
    </row>
    <row r="26" spans="1:40" ht="12.95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</row>
    <row r="27" spans="1:40" ht="12.95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Z27" s="2"/>
      <c r="AA27" s="2"/>
      <c r="AB27" s="2"/>
      <c r="AD27" s="2"/>
      <c r="AE27" s="2"/>
      <c r="AF27" s="2"/>
      <c r="AG27" s="8" t="s">
        <v>72</v>
      </c>
      <c r="AH27" s="2"/>
      <c r="AJ27" s="8"/>
      <c r="AK27" s="8"/>
      <c r="AL27" s="8"/>
      <c r="AM27" s="8"/>
      <c r="AN27" s="8"/>
    </row>
    <row r="28" spans="1:40" ht="12.95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AA28" s="84" t="s">
        <v>49</v>
      </c>
      <c r="AB28" s="84"/>
      <c r="AC28" s="84"/>
      <c r="AD28" s="84"/>
      <c r="AE28" s="84"/>
      <c r="AF28" s="84"/>
      <c r="AG28" s="84"/>
      <c r="AH28" s="84"/>
      <c r="AI28" s="84"/>
      <c r="AJ28" s="84"/>
      <c r="AK28" s="84"/>
      <c r="AL28" s="84"/>
      <c r="AM28" s="84"/>
      <c r="AN28" s="2"/>
    </row>
    <row r="29" spans="1:40" ht="12.95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</row>
    <row r="30" spans="1:40" ht="12.95" customHeight="1" x14ac:dyDescent="0.25"/>
    <row r="31" spans="1:40" ht="12.95" customHeight="1" x14ac:dyDescent="0.25">
      <c r="A31" s="80" t="s">
        <v>73</v>
      </c>
      <c r="B31" s="80"/>
      <c r="C31" s="80"/>
      <c r="D31" s="80"/>
      <c r="E31" s="80"/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80"/>
      <c r="AC31" s="80"/>
      <c r="AD31" s="80"/>
      <c r="AE31" s="80"/>
      <c r="AF31" s="80"/>
      <c r="AG31" s="80"/>
      <c r="AH31" s="80"/>
      <c r="AI31" s="80"/>
      <c r="AJ31" s="80"/>
      <c r="AK31" s="80"/>
      <c r="AL31" s="80"/>
      <c r="AM31" s="80"/>
      <c r="AN31" s="23"/>
    </row>
    <row r="32" spans="1:40" ht="12.95" customHeight="1" x14ac:dyDescent="0.25">
      <c r="A32" s="83" t="s">
        <v>74</v>
      </c>
      <c r="B32" s="83"/>
      <c r="C32" s="83"/>
      <c r="D32" s="83"/>
      <c r="E32" s="83"/>
      <c r="F32" s="83"/>
      <c r="G32" s="83"/>
      <c r="H32" s="83"/>
      <c r="I32" s="83"/>
      <c r="J32" s="83"/>
      <c r="K32" s="83"/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3"/>
      <c r="AB32" s="83"/>
      <c r="AC32" s="83"/>
      <c r="AD32" s="83"/>
      <c r="AE32" s="83"/>
      <c r="AF32" s="83"/>
      <c r="AG32" s="83"/>
      <c r="AH32" s="83"/>
      <c r="AI32" s="83"/>
      <c r="AJ32" s="83"/>
      <c r="AK32" s="83"/>
      <c r="AL32" s="83"/>
      <c r="AM32" s="83"/>
      <c r="AN32" s="24"/>
    </row>
    <row r="33" spans="1:40" ht="12.95" customHeight="1" x14ac:dyDescent="0.25"/>
    <row r="34" spans="1:40" ht="12.95" customHeight="1" x14ac:dyDescent="0.25"/>
    <row r="35" spans="1:40" ht="12.95" customHeight="1" x14ac:dyDescent="0.25">
      <c r="A35" s="80" t="s">
        <v>75</v>
      </c>
      <c r="B35" s="80"/>
      <c r="C35" s="80"/>
      <c r="D35" s="80"/>
      <c r="E35" s="80"/>
      <c r="F35" s="80"/>
      <c r="G35" s="80"/>
      <c r="H35" s="80"/>
      <c r="I35" s="80"/>
      <c r="J35" s="80"/>
      <c r="K35" s="80"/>
      <c r="L35" s="80"/>
      <c r="M35" s="80"/>
      <c r="N35" s="80"/>
      <c r="O35" s="80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  <c r="AH35" s="80"/>
      <c r="AI35" s="80"/>
      <c r="AJ35" s="80"/>
      <c r="AK35" s="80"/>
      <c r="AL35" s="80"/>
      <c r="AM35" s="80"/>
      <c r="AN35" s="23"/>
    </row>
    <row r="36" spans="1:40" ht="14.45" customHeight="1" x14ac:dyDescent="0.25">
      <c r="A36" s="79" t="s">
        <v>84</v>
      </c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79"/>
      <c r="AC36" s="79"/>
      <c r="AD36" s="79"/>
      <c r="AE36" s="79"/>
      <c r="AF36" s="79"/>
      <c r="AG36" s="79"/>
      <c r="AH36" s="79"/>
      <c r="AI36" s="79"/>
      <c r="AJ36" s="79"/>
      <c r="AK36" s="79"/>
      <c r="AL36" s="79"/>
      <c r="AM36" s="79"/>
      <c r="AN36" s="25"/>
    </row>
    <row r="37" spans="1:40" ht="12" customHeight="1" x14ac:dyDescent="0.25">
      <c r="A37" s="79"/>
      <c r="B37" s="79"/>
      <c r="C37" s="79"/>
      <c r="D37" s="79"/>
      <c r="E37" s="79"/>
      <c r="F37" s="79"/>
      <c r="G37" s="79"/>
      <c r="H37" s="79"/>
      <c r="I37" s="79"/>
      <c r="J37" s="79"/>
      <c r="K37" s="79"/>
      <c r="L37" s="79"/>
      <c r="M37" s="79"/>
      <c r="N37" s="79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9"/>
      <c r="AE37" s="79"/>
      <c r="AF37" s="79"/>
      <c r="AG37" s="79"/>
      <c r="AH37" s="79"/>
      <c r="AI37" s="79"/>
      <c r="AJ37" s="79"/>
      <c r="AK37" s="79"/>
      <c r="AL37" s="79"/>
      <c r="AM37" s="79"/>
      <c r="AN37" s="25"/>
    </row>
    <row r="38" spans="1:40" ht="12.95" customHeight="1" x14ac:dyDescent="0.25">
      <c r="A38" s="79"/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79"/>
      <c r="AC38" s="79"/>
      <c r="AD38" s="79"/>
      <c r="AE38" s="79"/>
      <c r="AF38" s="79"/>
      <c r="AG38" s="79"/>
      <c r="AH38" s="79"/>
      <c r="AI38" s="79"/>
      <c r="AJ38" s="79"/>
      <c r="AK38" s="79"/>
      <c r="AL38" s="79"/>
      <c r="AM38" s="79"/>
    </row>
    <row r="39" spans="1:40" ht="9.75" customHeight="1" x14ac:dyDescent="0.25"/>
    <row r="40" spans="1:40" ht="12.95" customHeight="1" x14ac:dyDescent="0.25"/>
    <row r="41" spans="1:40" ht="12.95" customHeight="1" x14ac:dyDescent="0.25"/>
    <row r="42" spans="1:40" ht="12.95" customHeight="1" x14ac:dyDescent="0.25"/>
  </sheetData>
  <mergeCells count="72">
    <mergeCell ref="S1:T1"/>
    <mergeCell ref="U1:V1"/>
    <mergeCell ref="W1:X1"/>
    <mergeCell ref="Y1:Z1"/>
    <mergeCell ref="AA1:AB1"/>
    <mergeCell ref="A2:F2"/>
    <mergeCell ref="G2:H2"/>
    <mergeCell ref="I2:J2"/>
    <mergeCell ref="K2:L2"/>
    <mergeCell ref="M2:N2"/>
    <mergeCell ref="A1:F1"/>
    <mergeCell ref="G1:H1"/>
    <mergeCell ref="I1:J1"/>
    <mergeCell ref="K1:L1"/>
    <mergeCell ref="M1:N1"/>
    <mergeCell ref="AA3:AB3"/>
    <mergeCell ref="O1:P1"/>
    <mergeCell ref="Q1:R1"/>
    <mergeCell ref="AA2:AB2"/>
    <mergeCell ref="A3:F3"/>
    <mergeCell ref="G3:H3"/>
    <mergeCell ref="I3:J3"/>
    <mergeCell ref="K3:L3"/>
    <mergeCell ref="M3:N3"/>
    <mergeCell ref="O3:P3"/>
    <mergeCell ref="Q3:R3"/>
    <mergeCell ref="S3:T3"/>
    <mergeCell ref="O2:P2"/>
    <mergeCell ref="Q2:R2"/>
    <mergeCell ref="S2:T2"/>
    <mergeCell ref="U2:V2"/>
    <mergeCell ref="G4:H4"/>
    <mergeCell ref="I4:J4"/>
    <mergeCell ref="K4:L4"/>
    <mergeCell ref="M4:N4"/>
    <mergeCell ref="Y2:Z2"/>
    <mergeCell ref="U3:V3"/>
    <mergeCell ref="W3:X3"/>
    <mergeCell ref="Y3:Z3"/>
    <mergeCell ref="W2:X2"/>
    <mergeCell ref="S13:AM13"/>
    <mergeCell ref="S14:AM14"/>
    <mergeCell ref="AA4:AB4"/>
    <mergeCell ref="AC17:AD17"/>
    <mergeCell ref="A12:R12"/>
    <mergeCell ref="A13:R13"/>
    <mergeCell ref="O4:P4"/>
    <mergeCell ref="Q4:R4"/>
    <mergeCell ref="S4:T4"/>
    <mergeCell ref="U4:V4"/>
    <mergeCell ref="W4:X4"/>
    <mergeCell ref="Y4:Z4"/>
    <mergeCell ref="AA7:AM7"/>
    <mergeCell ref="S15:AM15"/>
    <mergeCell ref="S16:AM16"/>
    <mergeCell ref="A4:F4"/>
    <mergeCell ref="I24:AM24"/>
    <mergeCell ref="I25:AM25"/>
    <mergeCell ref="A36:AM38"/>
    <mergeCell ref="A35:AM35"/>
    <mergeCell ref="A10:AG10"/>
    <mergeCell ref="A23:AG23"/>
    <mergeCell ref="A24:H24"/>
    <mergeCell ref="A25:H25"/>
    <mergeCell ref="A32:AM32"/>
    <mergeCell ref="A31:AM31"/>
    <mergeCell ref="AA20:AM20"/>
    <mergeCell ref="A14:R14"/>
    <mergeCell ref="A15:R15"/>
    <mergeCell ref="A16:R16"/>
    <mergeCell ref="AA28:AM28"/>
    <mergeCell ref="S12:AM12"/>
  </mergeCells>
  <pageMargins left="0.45" right="0.2" top="0.75" bottom="0.75" header="0.3" footer="0.3"/>
  <pageSetup paperSize="1000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Front Sheet</vt:lpstr>
      <vt:lpstr>Back Sheet</vt:lpstr>
      <vt:lpstr>'Back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Software Developer</cp:lastModifiedBy>
  <cp:lastPrinted>2025-07-21T05:50:17Z</cp:lastPrinted>
  <dcterms:created xsi:type="dcterms:W3CDTF">2014-06-17T06:11:21Z</dcterms:created>
  <dcterms:modified xsi:type="dcterms:W3CDTF">2025-07-21T05:52:15Z</dcterms:modified>
</cp:coreProperties>
</file>