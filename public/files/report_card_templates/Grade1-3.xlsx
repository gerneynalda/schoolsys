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ackup from OLD HDD 7.24.2020\Drive D\Documents\2024 - 2025\Progress Report '25\"/>
    </mc:Choice>
  </mc:AlternateContent>
  <xr:revisionPtr revIDLastSave="0" documentId="8_{B1DA2CFA-4D3E-4F48-AD3A-0363E52FCCEA}" xr6:coauthVersionLast="36" xr6:coauthVersionMax="36" xr10:uidLastSave="{00000000-0000-0000-0000-000000000000}"/>
  <bookViews>
    <workbookView xWindow="4980" yWindow="240" windowWidth="13392" windowHeight="10896" xr2:uid="{00000000-000D-0000-FFFF-FFFF00000000}"/>
  </bookViews>
  <sheets>
    <sheet name="G1-3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Z21" i="1" l="1"/>
  <c r="AA42" i="1" l="1"/>
  <c r="AA43" i="1"/>
  <c r="V38" i="1"/>
  <c r="AD20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22" i="1" l="1"/>
  <c r="T38" i="1"/>
  <c r="V21" i="1"/>
  <c r="R38" i="1" l="1"/>
  <c r="R21" i="1"/>
  <c r="AA41" i="1" l="1"/>
  <c r="P38" i="1" l="1"/>
  <c r="N21" i="1" l="1"/>
</calcChain>
</file>

<file path=xl/sharedStrings.xml><?xml version="1.0" encoding="utf-8"?>
<sst xmlns="http://schemas.openxmlformats.org/spreadsheetml/2006/main" count="98" uniqueCount="78">
  <si>
    <t>PROGRESS REPORT</t>
  </si>
  <si>
    <t>(Elementary)</t>
  </si>
  <si>
    <t>Name:</t>
  </si>
  <si>
    <t>Adviser:</t>
  </si>
  <si>
    <t>Grade Level:</t>
  </si>
  <si>
    <t>Section:</t>
  </si>
  <si>
    <t>SUBJECTS</t>
  </si>
  <si>
    <t>QUARTERLY GRADES</t>
  </si>
  <si>
    <t>1st</t>
  </si>
  <si>
    <t>2nd</t>
  </si>
  <si>
    <t>3rd</t>
  </si>
  <si>
    <t>4th</t>
  </si>
  <si>
    <t>FILIPINO</t>
  </si>
  <si>
    <t>ENGLISH</t>
  </si>
  <si>
    <t>MATHEMATICS</t>
  </si>
  <si>
    <t>Araling Panlipunan</t>
  </si>
  <si>
    <t>MAPEH</t>
  </si>
  <si>
    <t>Music</t>
  </si>
  <si>
    <t>Art</t>
  </si>
  <si>
    <t>Physical Education</t>
  </si>
  <si>
    <t>Health</t>
  </si>
  <si>
    <t>BIBLE (EsP)</t>
  </si>
  <si>
    <t>SCIENCE</t>
  </si>
  <si>
    <t>PENMANSHIP</t>
  </si>
  <si>
    <t>Average</t>
  </si>
  <si>
    <t>General Average</t>
  </si>
  <si>
    <t>Rank:</t>
  </si>
  <si>
    <t>CHARACTER BUILDING</t>
  </si>
  <si>
    <t>TRAITS</t>
  </si>
  <si>
    <t>Activeness in school and classroom</t>
  </si>
  <si>
    <t>Cleanliness and care of things</t>
  </si>
  <si>
    <t>Consideration for others</t>
  </si>
  <si>
    <t>Courtesy and cheerfulness</t>
  </si>
  <si>
    <t>Honesty</t>
  </si>
  <si>
    <t>Industry and helpfulness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</si>
  <si>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</si>
  <si>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</si>
  <si>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</si>
  <si>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</si>
  <si>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</si>
  <si>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</si>
  <si>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</si>
  <si>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</si>
  <si>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</si>
  <si>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</si>
  <si>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</si>
  <si>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</si>
  <si>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</si>
  <si>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</si>
  <si>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</si>
  <si>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</si>
  <si>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</si>
  <si>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</si>
  <si>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</si>
  <si>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</si>
  <si>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</si>
  <si>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</si>
  <si>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</si>
  <si>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Positive Influence</t>
  </si>
  <si>
    <t>Good, consistent</t>
  </si>
  <si>
    <t>Good, but not consistent</t>
  </si>
  <si>
    <t>Fair, average</t>
  </si>
  <si>
    <t>Under discipline</t>
  </si>
  <si>
    <t>Not satisfactory</t>
  </si>
  <si>
    <t>MOTHER TONGUE</t>
  </si>
  <si>
    <t>Action
Taken</t>
  </si>
  <si>
    <t>LRN:</t>
  </si>
  <si>
    <t>Apr</t>
  </si>
  <si>
    <t>Grade One</t>
  </si>
  <si>
    <t>Final
Grade</t>
  </si>
  <si>
    <t>Faith</t>
  </si>
  <si>
    <t>May</t>
  </si>
  <si>
    <t>FOREIGN LANGUAGE ARTS</t>
  </si>
  <si>
    <t>Castillo, Bjorn Evans S.</t>
  </si>
  <si>
    <t>Mrs. Moniña Hernandez</t>
  </si>
  <si>
    <t>SY:2023-2024</t>
  </si>
  <si>
    <t>B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</si>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</sst>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"/>
  <sheetViews>
    <sheetView tabSelected="1" view="pageLayout" topLeftCell="A6" zoomScaleNormal="100" workbookViewId="0">
      <selection activeCell="H22" sqref="H22:M22"/>
    </sheetView>
  </sheetViews>
  <sheetFormatPr defaultColWidth="9.109375" defaultRowHeight="14.4" x14ac:dyDescent="0.3"/>
  <cols>
    <col min="1" max="40" width="1.5546875" customWidth="1"/>
  </cols>
  <sheetData>
    <row r="1" spans="1:40" ht="12.9" customHeight="1" x14ac:dyDescent="0.3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ht="12.9" customHeight="1" x14ac:dyDescent="0.3">
      <c r="A2" s="54" t="s">
        <v>66</v>
      </c>
      <c r="B2" s="54"/>
      <c r="C2" s="54"/>
      <c r="D2" s="71">
        <v>404147220016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1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ht="12.9" customHeight="1" x14ac:dyDescent="0.3">
      <c r="A3" s="57" t="s">
        <v>2</v>
      </c>
      <c r="B3" s="57"/>
      <c r="C3" s="57"/>
      <c r="D3" s="57"/>
      <c r="E3" s="58" t="s">
        <v>73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3</v>
      </c>
      <c r="W3" s="56"/>
      <c r="X3" s="56"/>
      <c r="Y3" s="56"/>
      <c r="Z3" s="59" t="s">
        <v>74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ht="12.9" customHeight="1" x14ac:dyDescent="0.3">
      <c r="A4" s="55" t="s">
        <v>4</v>
      </c>
      <c r="B4" s="55"/>
      <c r="C4" s="55"/>
      <c r="D4" s="55"/>
      <c r="E4" s="55"/>
      <c r="F4" s="55"/>
      <c r="G4" s="70" t="s">
        <v>68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5</v>
      </c>
      <c r="R4" s="55"/>
      <c r="S4" s="55"/>
      <c r="T4" s="55"/>
      <c r="U4" s="70" t="s">
        <v>70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75</v>
      </c>
      <c r="AI4" s="55"/>
      <c r="AJ4" s="55"/>
      <c r="AK4" s="55"/>
      <c r="AL4" s="55"/>
      <c r="AM4" s="55"/>
      <c r="AN4" s="55"/>
    </row>
    <row r="5" spans="1:40" ht="12.9" customHeight="1" x14ac:dyDescent="0.3">
      <c r="A5" s="66" t="s">
        <v>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7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69</v>
      </c>
      <c r="AE5" s="61"/>
      <c r="AF5" s="61"/>
      <c r="AG5" s="61"/>
      <c r="AH5" s="61"/>
      <c r="AI5" s="62"/>
      <c r="AJ5" s="60" t="s">
        <v>65</v>
      </c>
      <c r="AK5" s="61"/>
      <c r="AL5" s="61"/>
      <c r="AM5" s="61"/>
      <c r="AN5" s="62"/>
    </row>
    <row r="6" spans="1:40" ht="12.9" customHeigh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8</v>
      </c>
      <c r="O6" s="23"/>
      <c r="P6" s="23"/>
      <c r="Q6" s="23"/>
      <c r="R6" s="23" t="s">
        <v>9</v>
      </c>
      <c r="S6" s="23"/>
      <c r="T6" s="23"/>
      <c r="U6" s="23"/>
      <c r="V6" s="23" t="s">
        <v>10</v>
      </c>
      <c r="W6" s="23"/>
      <c r="X6" s="23"/>
      <c r="Y6" s="23"/>
      <c r="Z6" s="23" t="s">
        <v>11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ht="12.9" customHeight="1" x14ac:dyDescent="0.3">
      <c r="A7" s="17" t="s">
        <v>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94</v>
      </c>
      <c r="O7" s="23"/>
      <c r="P7" s="23"/>
      <c r="Q7" s="23"/>
      <c r="R7" s="23">
        <v>89</v>
      </c>
      <c r="S7" s="23"/>
      <c r="T7" s="23"/>
      <c r="U7" s="23"/>
      <c r="V7" s="23">
        <v>95</v>
      </c>
      <c r="W7" s="23"/>
      <c r="X7" s="23"/>
      <c r="Y7" s="23"/>
      <c r="Z7" s="23">
        <v>86</v>
      </c>
      <c r="AA7" s="23"/>
      <c r="AB7" s="23"/>
      <c r="AC7" s="23"/>
      <c r="AD7" s="46">
        <f>SUM(N7:AC7)/4</f>
        <v>91</v>
      </c>
      <c r="AE7" s="47"/>
      <c r="AF7" s="47"/>
      <c r="AG7" s="47"/>
      <c r="AH7" s="47"/>
      <c r="AI7" s="48"/>
      <c r="AJ7" s="23" t="s">
        <v>77</v>
      </c>
      <c r="AK7" s="23"/>
      <c r="AL7" s="23"/>
      <c r="AM7" s="23"/>
      <c r="AN7" s="23"/>
    </row>
    <row r="8" spans="1:40" ht="12.9" customHeight="1" x14ac:dyDescent="0.3">
      <c r="A8" s="17" t="s">
        <v>13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91</v>
      </c>
      <c r="O8" s="23"/>
      <c r="P8" s="23"/>
      <c r="Q8" s="23"/>
      <c r="R8" s="23">
        <v>90</v>
      </c>
      <c r="S8" s="23"/>
      <c r="T8" s="23"/>
      <c r="U8" s="23"/>
      <c r="V8" s="23">
        <v>95</v>
      </c>
      <c r="W8" s="23"/>
      <c r="X8" s="23"/>
      <c r="Y8" s="23"/>
      <c r="Z8" s="23">
        <v>88</v>
      </c>
      <c r="AA8" s="23"/>
      <c r="AB8" s="23"/>
      <c r="AC8" s="23"/>
      <c r="AD8" s="46">
        <f t="shared" ref="AD8:AD18" si="0">SUM(N8:AC8)/4</f>
        <v>91</v>
      </c>
      <c r="AE8" s="47"/>
      <c r="AF8" s="47"/>
      <c r="AG8" s="47"/>
      <c r="AH8" s="47"/>
      <c r="AI8" s="48"/>
      <c r="AJ8" s="23" t="s">
        <v>77</v>
      </c>
      <c r="AK8" s="23"/>
      <c r="AL8" s="23"/>
      <c r="AM8" s="23"/>
      <c r="AN8" s="23"/>
    </row>
    <row r="9" spans="1:40" ht="12.9" customHeight="1" x14ac:dyDescent="0.3">
      <c r="A9" s="17" t="s">
        <v>14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92</v>
      </c>
      <c r="O9" s="23"/>
      <c r="P9" s="23"/>
      <c r="Q9" s="23"/>
      <c r="R9" s="23">
        <v>86</v>
      </c>
      <c r="S9" s="23"/>
      <c r="T9" s="23"/>
      <c r="U9" s="23"/>
      <c r="V9" s="23">
        <v>85</v>
      </c>
      <c r="W9" s="23"/>
      <c r="X9" s="23"/>
      <c r="Y9" s="23"/>
      <c r="Z9" s="23">
        <v>89</v>
      </c>
      <c r="AA9" s="23"/>
      <c r="AB9" s="23"/>
      <c r="AC9" s="23"/>
      <c r="AD9" s="46">
        <f t="shared" si="0"/>
        <v>88</v>
      </c>
      <c r="AE9" s="47"/>
      <c r="AF9" s="47"/>
      <c r="AG9" s="47"/>
      <c r="AH9" s="47"/>
      <c r="AI9" s="48"/>
      <c r="AJ9" s="23" t="s">
        <v>77</v>
      </c>
      <c r="AK9" s="23"/>
      <c r="AL9" s="23"/>
      <c r="AM9" s="23"/>
      <c r="AN9" s="23"/>
    </row>
    <row r="10" spans="1:40" ht="12.9" customHeight="1" x14ac:dyDescent="0.3">
      <c r="A10" s="17" t="s">
        <v>22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92</v>
      </c>
      <c r="O10" s="23"/>
      <c r="P10" s="23"/>
      <c r="Q10" s="23"/>
      <c r="R10" s="23">
        <v>94</v>
      </c>
      <c r="S10" s="23"/>
      <c r="T10" s="23"/>
      <c r="U10" s="23"/>
      <c r="V10" s="23">
        <v>95</v>
      </c>
      <c r="W10" s="23"/>
      <c r="X10" s="23"/>
      <c r="Y10" s="23"/>
      <c r="Z10" s="23">
        <v>98</v>
      </c>
      <c r="AA10" s="23"/>
      <c r="AB10" s="23"/>
      <c r="AC10" s="23"/>
      <c r="AD10" s="46">
        <f t="shared" si="0"/>
        <v>94.75</v>
      </c>
      <c r="AE10" s="47"/>
      <c r="AF10" s="47"/>
      <c r="AG10" s="47"/>
      <c r="AH10" s="47"/>
      <c r="AI10" s="48"/>
      <c r="AJ10" s="23" t="s">
        <v>77</v>
      </c>
      <c r="AK10" s="23"/>
      <c r="AL10" s="23"/>
      <c r="AM10" s="23"/>
      <c r="AN10" s="23"/>
    </row>
    <row r="11" spans="1:40" ht="12.9" customHeight="1" x14ac:dyDescent="0.3">
      <c r="A11" s="17" t="s">
        <v>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96</v>
      </c>
      <c r="O11" s="23"/>
      <c r="P11" s="23"/>
      <c r="Q11" s="23"/>
      <c r="R11" s="23">
        <v>93</v>
      </c>
      <c r="S11" s="23"/>
      <c r="T11" s="23"/>
      <c r="U11" s="23"/>
      <c r="V11" s="23">
        <v>93</v>
      </c>
      <c r="W11" s="23"/>
      <c r="X11" s="23"/>
      <c r="Y11" s="23"/>
      <c r="Z11" s="23">
        <v>84</v>
      </c>
      <c r="AA11" s="23"/>
      <c r="AB11" s="23"/>
      <c r="AC11" s="23"/>
      <c r="AD11" s="46">
        <f t="shared" si="0"/>
        <v>91.5</v>
      </c>
      <c r="AE11" s="47"/>
      <c r="AF11" s="47"/>
      <c r="AG11" s="47"/>
      <c r="AH11" s="47"/>
      <c r="AI11" s="48"/>
      <c r="AJ11" s="23" t="s">
        <v>77</v>
      </c>
      <c r="AK11" s="23"/>
      <c r="AL11" s="23"/>
      <c r="AM11" s="23"/>
      <c r="AN11" s="23"/>
    </row>
    <row r="12" spans="1:40" ht="12.9" customHeight="1" x14ac:dyDescent="0.3">
      <c r="A12" s="17" t="s">
        <v>16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95</v>
      </c>
      <c r="O12" s="23"/>
      <c r="P12" s="23"/>
      <c r="Q12" s="23"/>
      <c r="R12" s="23">
        <v>96</v>
      </c>
      <c r="S12" s="23"/>
      <c r="T12" s="23"/>
      <c r="U12" s="23"/>
      <c r="V12" s="23">
        <v>96</v>
      </c>
      <c r="W12" s="23"/>
      <c r="X12" s="23"/>
      <c r="Y12" s="23"/>
      <c r="Z12" s="23">
        <v>96</v>
      </c>
      <c r="AA12" s="23"/>
      <c r="AB12" s="23"/>
      <c r="AC12" s="23"/>
      <c r="AD12" s="46">
        <f t="shared" si="0"/>
        <v>95.75</v>
      </c>
      <c r="AE12" s="47"/>
      <c r="AF12" s="47"/>
      <c r="AG12" s="47"/>
      <c r="AH12" s="47"/>
      <c r="AI12" s="48"/>
      <c r="AJ12" s="23" t="s">
        <v>77</v>
      </c>
      <c r="AK12" s="23"/>
      <c r="AL12" s="23"/>
      <c r="AM12" s="23"/>
      <c r="AN12" s="23"/>
    </row>
    <row r="13" spans="1:40" ht="12.9" customHeight="1" x14ac:dyDescent="0.3">
      <c r="A13" s="6"/>
      <c r="B13" s="15" t="s">
        <v>17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98</v>
      </c>
      <c r="O13" s="23"/>
      <c r="P13" s="23"/>
      <c r="Q13" s="23"/>
      <c r="R13" s="23">
        <v>92</v>
      </c>
      <c r="S13" s="23"/>
      <c r="T13" s="23"/>
      <c r="U13" s="23"/>
      <c r="V13" s="23">
        <v>97</v>
      </c>
      <c r="W13" s="23"/>
      <c r="X13" s="23"/>
      <c r="Y13" s="23"/>
      <c r="Z13" s="23">
        <v>94</v>
      </c>
      <c r="AA13" s="23"/>
      <c r="AB13" s="23"/>
      <c r="AC13" s="23"/>
      <c r="AD13" s="46">
        <f t="shared" si="0"/>
        <v>95.25</v>
      </c>
      <c r="AE13" s="47"/>
      <c r="AF13" s="47"/>
      <c r="AG13" s="47"/>
      <c r="AH13" s="47"/>
      <c r="AI13" s="48"/>
      <c r="AJ13" s="23" t="s">
        <v>77</v>
      </c>
      <c r="AK13" s="23"/>
      <c r="AL13" s="23"/>
      <c r="AM13" s="23"/>
      <c r="AN13" s="23"/>
    </row>
    <row r="14" spans="1:40" ht="12.9" customHeight="1" x14ac:dyDescent="0.3">
      <c r="A14" s="6"/>
      <c r="B14" s="15" t="s">
        <v>18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94</v>
      </c>
      <c r="O14" s="23"/>
      <c r="P14" s="23"/>
      <c r="Q14" s="23"/>
      <c r="R14" s="23">
        <v>92</v>
      </c>
      <c r="S14" s="23"/>
      <c r="T14" s="23"/>
      <c r="U14" s="23"/>
      <c r="V14" s="23">
        <v>92</v>
      </c>
      <c r="W14" s="23"/>
      <c r="X14" s="23"/>
      <c r="Y14" s="23"/>
      <c r="Z14" s="23">
        <v>94</v>
      </c>
      <c r="AA14" s="23"/>
      <c r="AB14" s="23"/>
      <c r="AC14" s="23"/>
      <c r="AD14" s="46">
        <f t="shared" si="0"/>
        <v>93</v>
      </c>
      <c r="AE14" s="47"/>
      <c r="AF14" s="47"/>
      <c r="AG14" s="47"/>
      <c r="AH14" s="47"/>
      <c r="AI14" s="48"/>
      <c r="AJ14" s="23" t="s">
        <v>77</v>
      </c>
      <c r="AK14" s="23"/>
      <c r="AL14" s="23"/>
      <c r="AM14" s="23"/>
      <c r="AN14" s="23"/>
    </row>
    <row r="15" spans="1:40" ht="12.9" customHeight="1" x14ac:dyDescent="0.3">
      <c r="A15" s="6"/>
      <c r="B15" s="15" t="s">
        <v>19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96</v>
      </c>
      <c r="O15" s="23"/>
      <c r="P15" s="23"/>
      <c r="Q15" s="23"/>
      <c r="R15" s="23">
        <v>99</v>
      </c>
      <c r="S15" s="23"/>
      <c r="T15" s="23"/>
      <c r="U15" s="23"/>
      <c r="V15" s="23">
        <v>99</v>
      </c>
      <c r="W15" s="23"/>
      <c r="X15" s="23"/>
      <c r="Y15" s="23"/>
      <c r="Z15" s="23">
        <v>98</v>
      </c>
      <c r="AA15" s="23"/>
      <c r="AB15" s="23"/>
      <c r="AC15" s="23"/>
      <c r="AD15" s="46">
        <f t="shared" si="0"/>
        <v>98</v>
      </c>
      <c r="AE15" s="47"/>
      <c r="AF15" s="47"/>
      <c r="AG15" s="47"/>
      <c r="AH15" s="47"/>
      <c r="AI15" s="48"/>
      <c r="AJ15" s="23" t="s">
        <v>77</v>
      </c>
      <c r="AK15" s="23"/>
      <c r="AL15" s="23"/>
      <c r="AM15" s="23"/>
      <c r="AN15" s="23"/>
    </row>
    <row r="16" spans="1:40" ht="12.9" customHeight="1" x14ac:dyDescent="0.3">
      <c r="A16" s="6"/>
      <c r="B16" s="15" t="s">
        <v>20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93</v>
      </c>
      <c r="O16" s="23"/>
      <c r="P16" s="23"/>
      <c r="Q16" s="23"/>
      <c r="R16" s="23">
        <v>99</v>
      </c>
      <c r="S16" s="23"/>
      <c r="T16" s="23"/>
      <c r="U16" s="23"/>
      <c r="V16" s="23">
        <v>97</v>
      </c>
      <c r="W16" s="23"/>
      <c r="X16" s="23"/>
      <c r="Y16" s="23"/>
      <c r="Z16" s="23">
        <v>97</v>
      </c>
      <c r="AA16" s="23"/>
      <c r="AB16" s="23"/>
      <c r="AC16" s="23"/>
      <c r="AD16" s="46">
        <f t="shared" si="0"/>
        <v>96.5</v>
      </c>
      <c r="AE16" s="47"/>
      <c r="AF16" s="47"/>
      <c r="AG16" s="47"/>
      <c r="AH16" s="47"/>
      <c r="AI16" s="48"/>
      <c r="AJ16" s="23" t="s">
        <v>77</v>
      </c>
      <c r="AK16" s="23"/>
      <c r="AL16" s="23"/>
      <c r="AM16" s="23"/>
      <c r="AN16" s="23"/>
    </row>
    <row r="17" spans="1:40" ht="12.9" customHeight="1" x14ac:dyDescent="0.3">
      <c r="A17" s="17" t="s">
        <v>21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94</v>
      </c>
      <c r="O17" s="23"/>
      <c r="P17" s="23"/>
      <c r="Q17" s="23"/>
      <c r="R17" s="23">
        <v>91</v>
      </c>
      <c r="S17" s="23"/>
      <c r="T17" s="23"/>
      <c r="U17" s="23"/>
      <c r="V17" s="23">
        <v>90</v>
      </c>
      <c r="W17" s="23"/>
      <c r="X17" s="23"/>
      <c r="Y17" s="23"/>
      <c r="Z17" s="23">
        <v>90</v>
      </c>
      <c r="AA17" s="23"/>
      <c r="AB17" s="23"/>
      <c r="AC17" s="23"/>
      <c r="AD17" s="46">
        <f t="shared" si="0"/>
        <v>91.25</v>
      </c>
      <c r="AE17" s="47"/>
      <c r="AF17" s="47"/>
      <c r="AG17" s="47"/>
      <c r="AH17" s="47"/>
      <c r="AI17" s="48"/>
      <c r="AJ17" s="23" t="s">
        <v>77</v>
      </c>
      <c r="AK17" s="23"/>
      <c r="AL17" s="23"/>
      <c r="AM17" s="23"/>
      <c r="AN17" s="23"/>
    </row>
    <row r="18" spans="1:40" ht="12.9" customHeight="1" x14ac:dyDescent="0.3">
      <c r="A18" s="14" t="s">
        <v>64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98</v>
      </c>
      <c r="O18" s="29"/>
      <c r="P18" s="29"/>
      <c r="Q18" s="30"/>
      <c r="R18" s="28">
        <v>91</v>
      </c>
      <c r="S18" s="29"/>
      <c r="T18" s="29"/>
      <c r="U18" s="30"/>
      <c r="V18" s="28">
        <v>90</v>
      </c>
      <c r="W18" s="29"/>
      <c r="X18" s="29"/>
      <c r="Y18" s="30"/>
      <c r="Z18" s="28">
        <v>96</v>
      </c>
      <c r="AA18" s="29"/>
      <c r="AB18" s="29"/>
      <c r="AC18" s="30"/>
      <c r="AD18" s="46">
        <f t="shared" si="0"/>
        <v>93.75</v>
      </c>
      <c r="AE18" s="47"/>
      <c r="AF18" s="47"/>
      <c r="AG18" s="47"/>
      <c r="AH18" s="47"/>
      <c r="AI18" s="48"/>
      <c r="AJ18" s="23" t="s">
        <v>77</v>
      </c>
      <c r="AK18" s="23"/>
      <c r="AL18" s="23"/>
      <c r="AM18" s="23"/>
      <c r="AN18" s="23"/>
    </row>
    <row r="19" spans="1:40" ht="12.9" customHeight="1" x14ac:dyDescent="0.3">
      <c r="A19" s="17" t="s">
        <v>23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 t="s">
        <v>76</v>
      </c>
      <c r="O19" s="23"/>
      <c r="P19" s="23"/>
      <c r="Q19" s="23"/>
      <c r="R19" s="23" t="s">
        <v>76</v>
      </c>
      <c r="S19" s="23"/>
      <c r="T19" s="23"/>
      <c r="U19" s="23"/>
      <c r="V19" s="23" t="s">
        <v>76</v>
      </c>
      <c r="W19" s="23"/>
      <c r="X19" s="23"/>
      <c r="Y19" s="23"/>
      <c r="Z19" s="23" t="s">
        <v>76</v>
      </c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ht="12.9" customHeight="1" x14ac:dyDescent="0.3">
      <c r="A20" s="39" t="s">
        <v>72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76.8</v>
      </c>
      <c r="O20" s="23"/>
      <c r="P20" s="23"/>
      <c r="Q20" s="23"/>
      <c r="R20" s="23">
        <v>79.8</v>
      </c>
      <c r="S20" s="23"/>
      <c r="T20" s="23"/>
      <c r="U20" s="23"/>
      <c r="V20" s="23">
        <v>76.900000000000006</v>
      </c>
      <c r="W20" s="23"/>
      <c r="X20" s="23"/>
      <c r="Y20" s="23"/>
      <c r="Z20" s="23">
        <v>76.7</v>
      </c>
      <c r="AA20" s="23"/>
      <c r="AB20" s="23"/>
      <c r="AC20" s="23"/>
      <c r="AD20" s="46">
        <f t="shared" ref="AD20" si="1">SUM(N20:AC20)/4</f>
        <v>77.55</v>
      </c>
      <c r="AE20" s="47"/>
      <c r="AF20" s="47"/>
      <c r="AG20" s="47"/>
      <c r="AH20" s="47"/>
      <c r="AI20" s="48"/>
      <c r="AJ20" s="23" t="s">
        <v>77</v>
      </c>
      <c r="AK20" s="23"/>
      <c r="AL20" s="23"/>
      <c r="AM20" s="23"/>
      <c r="AN20" s="23"/>
    </row>
    <row r="21" spans="1:40" ht="12.9" customHeight="1" x14ac:dyDescent="0.3">
      <c r="A21" s="6"/>
      <c r="B21" s="7"/>
      <c r="C21" s="44" t="s">
        <v>24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94</v>
      </c>
      <c r="O21" s="24"/>
      <c r="P21" s="24"/>
      <c r="Q21" s="24"/>
      <c r="R21" s="24">
        <f>(+R7+R8+R9+R10+R11+R12+R17+R18)/8</f>
        <v>91.25</v>
      </c>
      <c r="S21" s="24"/>
      <c r="T21" s="24"/>
      <c r="U21" s="24"/>
      <c r="V21" s="24">
        <f>(+V7+V8+V9+V10+V11+V12+V17+V18)/8</f>
        <v>92.375</v>
      </c>
      <c r="W21" s="24"/>
      <c r="X21" s="24"/>
      <c r="Y21" s="24"/>
      <c r="Z21" s="24">
        <f>(+Z7+Z8+Z9+Z10+Z11+Z12+Z17+Z18)/8</f>
        <v>90.875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77</v>
      </c>
      <c r="AK21" s="23"/>
      <c r="AL21" s="23"/>
      <c r="AM21" s="23"/>
      <c r="AN21" s="23"/>
    </row>
    <row r="22" spans="1:40" ht="12.9" customHeight="1" x14ac:dyDescent="0.3">
      <c r="A22" s="6"/>
      <c r="B22" s="7"/>
      <c r="C22" s="40" t="s">
        <v>26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25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92.125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ht="4.2" customHeight="1" x14ac:dyDescent="0.3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ht="12.9" customHeight="1" x14ac:dyDescent="0.3">
      <c r="A24" s="1" t="s">
        <v>27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ht="12.9" customHeight="1" x14ac:dyDescent="0.3">
      <c r="A25" s="66" t="s">
        <v>28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8</v>
      </c>
      <c r="Q25" s="72"/>
      <c r="R25" s="72" t="s">
        <v>9</v>
      </c>
      <c r="S25" s="72"/>
      <c r="T25" s="72" t="s">
        <v>10</v>
      </c>
      <c r="U25" s="72"/>
      <c r="V25" s="72" t="s">
        <v>11</v>
      </c>
      <c r="W25" s="72"/>
      <c r="Y25" s="43" t="s">
        <v>57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ht="12.9" customHeight="1" x14ac:dyDescent="0.3">
      <c r="A26" s="68" t="s">
        <v>29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3</v>
      </c>
      <c r="Q26" s="18"/>
      <c r="R26" s="18">
        <v>3</v>
      </c>
      <c r="S26" s="18"/>
      <c r="T26" s="18">
        <v>3</v>
      </c>
      <c r="U26" s="18"/>
      <c r="V26" s="32">
        <v>4</v>
      </c>
      <c r="W26" s="32"/>
      <c r="Y26" s="67" t="s">
        <v>58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ht="12.9" customHeight="1" x14ac:dyDescent="0.3">
      <c r="A27" s="68" t="s">
        <v>30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3</v>
      </c>
      <c r="Q27" s="18"/>
      <c r="R27" s="18">
        <v>3</v>
      </c>
      <c r="S27" s="18"/>
      <c r="T27" s="32">
        <v>4</v>
      </c>
      <c r="U27" s="32"/>
      <c r="V27" s="32">
        <v>5</v>
      </c>
      <c r="W27" s="32"/>
      <c r="Y27" s="67" t="s">
        <v>59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ht="12.9" customHeight="1" x14ac:dyDescent="0.3">
      <c r="A28" s="68" t="s">
        <v>31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3</v>
      </c>
      <c r="Q28" s="18"/>
      <c r="R28" s="18">
        <v>3</v>
      </c>
      <c r="S28" s="18"/>
      <c r="T28" s="32">
        <v>3</v>
      </c>
      <c r="U28" s="32"/>
      <c r="V28" s="32">
        <v>4</v>
      </c>
      <c r="W28" s="32"/>
      <c r="Y28" s="67" t="s">
        <v>60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ht="12.9" customHeight="1" x14ac:dyDescent="0.3">
      <c r="A29" s="68" t="s">
        <v>32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3</v>
      </c>
      <c r="Q29" s="18"/>
      <c r="R29" s="18">
        <v>3</v>
      </c>
      <c r="S29" s="18"/>
      <c r="T29" s="32">
        <v>3</v>
      </c>
      <c r="U29" s="32"/>
      <c r="V29" s="32">
        <v>4</v>
      </c>
      <c r="W29" s="32"/>
      <c r="Y29" s="67" t="s">
        <v>61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ht="12.9" customHeight="1" x14ac:dyDescent="0.3">
      <c r="A30" s="68" t="s">
        <v>33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3</v>
      </c>
      <c r="Q30" s="18"/>
      <c r="R30" s="18">
        <v>3</v>
      </c>
      <c r="S30" s="18"/>
      <c r="T30" s="32">
        <v>3</v>
      </c>
      <c r="U30" s="32"/>
      <c r="V30" s="32">
        <v>4</v>
      </c>
      <c r="W30" s="32"/>
      <c r="Y30" s="67" t="s">
        <v>63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ht="12.9" customHeight="1" x14ac:dyDescent="0.3">
      <c r="A31" s="68" t="s">
        <v>34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3</v>
      </c>
      <c r="Q31" s="18"/>
      <c r="R31" s="18">
        <v>3</v>
      </c>
      <c r="S31" s="18"/>
      <c r="T31" s="32">
        <v>3</v>
      </c>
      <c r="U31" s="32"/>
      <c r="V31" s="32">
        <v>4</v>
      </c>
      <c r="W31" s="32"/>
      <c r="X31" s="3"/>
      <c r="Y31" s="67" t="s">
        <v>62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ht="12.9" customHeight="1" x14ac:dyDescent="0.3">
      <c r="A32" s="68" t="s">
        <v>35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3</v>
      </c>
      <c r="Q32" s="18"/>
      <c r="R32" s="18">
        <v>3</v>
      </c>
      <c r="S32" s="18"/>
      <c r="T32" s="32">
        <v>3</v>
      </c>
      <c r="U32" s="32"/>
      <c r="V32" s="32">
        <v>4</v>
      </c>
      <c r="W32" s="32"/>
      <c r="X32" s="3"/>
    </row>
    <row r="33" spans="1:40" ht="12.9" customHeight="1" x14ac:dyDescent="0.3">
      <c r="A33" s="68" t="s">
        <v>36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3</v>
      </c>
      <c r="Q33" s="18"/>
      <c r="R33" s="18">
        <v>3</v>
      </c>
      <c r="S33" s="18"/>
      <c r="T33" s="32">
        <v>4</v>
      </c>
      <c r="U33" s="32"/>
      <c r="V33" s="32">
        <v>5</v>
      </c>
      <c r="W33" s="32"/>
      <c r="X33" s="3"/>
    </row>
    <row r="34" spans="1:40" ht="12.9" customHeight="1" x14ac:dyDescent="0.3">
      <c r="A34" s="68" t="s">
        <v>37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3</v>
      </c>
      <c r="Q34" s="18"/>
      <c r="R34" s="18">
        <v>3</v>
      </c>
      <c r="S34" s="18"/>
      <c r="T34" s="32">
        <v>3</v>
      </c>
      <c r="U34" s="32"/>
      <c r="V34" s="32">
        <v>4</v>
      </c>
      <c r="W34" s="32"/>
      <c r="X34" s="3"/>
    </row>
    <row r="35" spans="1:40" ht="12.9" customHeight="1" x14ac:dyDescent="0.3">
      <c r="A35" s="68" t="s">
        <v>38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3</v>
      </c>
      <c r="Q35" s="18"/>
      <c r="R35" s="18">
        <v>3</v>
      </c>
      <c r="S35" s="18"/>
      <c r="T35" s="32">
        <v>3</v>
      </c>
      <c r="U35" s="32"/>
      <c r="V35" s="32">
        <v>4</v>
      </c>
      <c r="W35" s="32"/>
      <c r="X35" s="3"/>
    </row>
    <row r="36" spans="1:40" ht="12.9" customHeight="1" x14ac:dyDescent="0.3">
      <c r="A36" s="68" t="s">
        <v>39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3</v>
      </c>
      <c r="Q36" s="18"/>
      <c r="R36" s="18">
        <v>3</v>
      </c>
      <c r="S36" s="18"/>
      <c r="T36" s="32">
        <v>3</v>
      </c>
      <c r="U36" s="32"/>
      <c r="V36" s="32">
        <v>4</v>
      </c>
      <c r="W36" s="32"/>
      <c r="X36" s="3"/>
    </row>
    <row r="37" spans="1:40" ht="12.9" customHeight="1" x14ac:dyDescent="0.3">
      <c r="A37" s="68" t="s">
        <v>40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3</v>
      </c>
      <c r="Q37" s="18"/>
      <c r="R37" s="18">
        <v>3</v>
      </c>
      <c r="S37" s="18"/>
      <c r="T37" s="18">
        <v>3</v>
      </c>
      <c r="U37" s="18"/>
      <c r="V37" s="32">
        <v>4</v>
      </c>
      <c r="W37" s="32"/>
      <c r="X37" s="3"/>
      <c r="AC37" s="69" t="s">
        <v>55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ht="12.9" customHeight="1" x14ac:dyDescent="0.3">
      <c r="A38" s="41" t="s">
        <v>41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3</v>
      </c>
      <c r="Q38" s="32"/>
      <c r="R38" s="32">
        <f>SUM(R26:S37)/12</f>
        <v>3</v>
      </c>
      <c r="S38" s="32"/>
      <c r="T38" s="32">
        <f>SUM(T26:U37)/12</f>
        <v>3.1666666666666665</v>
      </c>
      <c r="U38" s="32"/>
      <c r="V38" s="32">
        <f>SUM(V26:W37)/12</f>
        <v>4.166666666666667</v>
      </c>
      <c r="W38" s="32"/>
      <c r="X38" s="3"/>
      <c r="AD38" s="2"/>
      <c r="AE38" s="2"/>
      <c r="AF38" s="36" t="s">
        <v>56</v>
      </c>
      <c r="AG38" s="36"/>
      <c r="AH38" s="36"/>
      <c r="AI38" s="36"/>
      <c r="AJ38" s="36"/>
      <c r="AK38" s="36"/>
      <c r="AL38" s="3"/>
      <c r="AM38" s="3"/>
    </row>
    <row r="39" spans="1:40" ht="4.2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ht="12.9" customHeight="1" x14ac:dyDescent="0.3">
      <c r="A40" s="35" t="s">
        <v>42</v>
      </c>
      <c r="B40" s="35"/>
      <c r="C40" s="35"/>
      <c r="D40" s="35"/>
      <c r="E40" s="35"/>
      <c r="F40" s="35"/>
      <c r="G40" s="33" t="s">
        <v>46</v>
      </c>
      <c r="H40" s="33"/>
      <c r="I40" s="33" t="s">
        <v>47</v>
      </c>
      <c r="J40" s="33"/>
      <c r="K40" s="33" t="s">
        <v>48</v>
      </c>
      <c r="L40" s="33"/>
      <c r="M40" s="33" t="s">
        <v>49</v>
      </c>
      <c r="N40" s="33"/>
      <c r="O40" s="33" t="s">
        <v>50</v>
      </c>
      <c r="P40" s="33"/>
      <c r="Q40" s="33" t="s">
        <v>51</v>
      </c>
      <c r="R40" s="33"/>
      <c r="S40" s="33" t="s">
        <v>52</v>
      </c>
      <c r="T40" s="33"/>
      <c r="U40" s="33" t="s">
        <v>53</v>
      </c>
      <c r="V40" s="33"/>
      <c r="W40" s="33" t="s">
        <v>67</v>
      </c>
      <c r="X40" s="33"/>
      <c r="Y40" s="33" t="s">
        <v>71</v>
      </c>
      <c r="Z40" s="33"/>
      <c r="AA40" s="33" t="s">
        <v>54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ht="12.9" customHeight="1" x14ac:dyDescent="0.3">
      <c r="A41" s="52" t="s">
        <v>43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ht="12.9" customHeight="1" x14ac:dyDescent="0.3">
      <c r="A42" s="52" t="s">
        <v>44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 t="shared" ref="AA42:AA43" si="2">SUM(G42:Z42)</f>
        <v>184</v>
      </c>
      <c r="AB42" s="32"/>
      <c r="AC42" s="31"/>
      <c r="AD42" s="31"/>
    </row>
    <row r="43" spans="1:40" ht="12.9" customHeight="1" x14ac:dyDescent="0.3">
      <c r="A43" s="52" t="s">
        <v>45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 t="shared" si="2"/>
        <v>1</v>
      </c>
      <c r="AB43" s="32"/>
      <c r="AC43" s="31"/>
      <c r="AD43" s="31"/>
    </row>
    <row r="44" spans="1:40" ht="12.9" customHeight="1" x14ac:dyDescent="0.3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 x14ac:dyDescent="0.3">
      <c r="AA45" s="2"/>
      <c r="AB45" s="2"/>
      <c r="AC45" s="2"/>
    </row>
  </sheetData>
  <mergeCells count="261"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horizontalCentered="1" verticalCentered="1"/>
  <pageMargins left="0.25" right="0.25" top="0.9" bottom="0.25" header="0" footer="0"/>
  <pageSetup paperSize="10000" scale="97" orientation="portrait" verticalDpi="0" r:id="rId1"/>
  <headerFooter scaleWithDoc="0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G1-3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2023-05-03T07:28:26Z</cp:lastPrinted>
  <dcterms:created xsi:type="dcterms:W3CDTF">2014-06-17T06:11:21Z</dcterms:created>
  <dcterms:modified xsi:type="dcterms:W3CDTF">2024-08-08T07:18:30Z</dcterms:modified>
</cp:coreProperties>
</file>